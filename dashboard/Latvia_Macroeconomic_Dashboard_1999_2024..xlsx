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slicers/slicer2.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slicers/slicer3.xml" ContentType="application/vnd.ms-excel.slicer+xml"/>
  <Override PartName="/xl/charts/chart10.xml" ContentType="application/vnd.openxmlformats-officedocument.drawingml.chart+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slicers/slicer4.xml" ContentType="application/vnd.ms-excel.slicer+xml"/>
  <Override PartName="/xl/charts/chart14.xml" ContentType="application/vnd.openxmlformats-officedocument.drawingml.chart+xml"/>
  <Override PartName="/xl/charts/chart15.xml" ContentType="application/vnd.openxmlformats-officedocument.drawingml.chart+xml"/>
  <Override PartName="/xl/charts/style11.xml" ContentType="application/vnd.ms-office.chartstyle+xml"/>
  <Override PartName="/xl/charts/colors11.xml" ContentType="application/vnd.ms-office.chartcolorstyle+xml"/>
  <Override PartName="/xl/charts/chart16.xml" ContentType="application/vnd.openxmlformats-officedocument.drawingml.chart+xml"/>
  <Override PartName="/xl/charts/style12.xml" ContentType="application/vnd.ms-office.chartstyle+xml"/>
  <Override PartName="/xl/charts/colors12.xml" ContentType="application/vnd.ms-office.chartcolorstyle+xml"/>
  <Override PartName="/xl/charts/chart17.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7.xml" ContentType="application/vnd.openxmlformats-officedocument.drawing+xml"/>
  <Override PartName="/xl/slicers/slicer5.xml" ContentType="application/vnd.ms-excel.slicer+xml"/>
  <Override PartName="/xl/charts/chart18.xml" ContentType="application/vnd.openxmlformats-officedocument.drawingml.chart+xml"/>
  <Override PartName="/xl/charts/chart19.xml" ContentType="application/vnd.openxmlformats-officedocument.drawingml.chart+xml"/>
  <Override PartName="/xl/charts/style14.xml" ContentType="application/vnd.ms-office.chartstyle+xml"/>
  <Override PartName="/xl/charts/colors14.xml" ContentType="application/vnd.ms-office.chartcolorstyle+xml"/>
  <Override PartName="/xl/charts/chart20.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8.xml" ContentType="application/vnd.openxmlformats-officedocument.drawing+xml"/>
  <Override PartName="/xl/slicers/slicer6.xml" ContentType="application/vnd.ms-excel.slicer+xml"/>
  <Override PartName="/xl/charts/chart21.xml" ContentType="application/vnd.openxmlformats-officedocument.drawingml.chart+xml"/>
  <Override PartName="/xl/charts/chart22.xml" ContentType="application/vnd.openxmlformats-officedocument.drawingml.chart+xml"/>
  <Override PartName="/xl/charts/style16.xml" ContentType="application/vnd.ms-office.chartstyle+xml"/>
  <Override PartName="/xl/charts/colors16.xml" ContentType="application/vnd.ms-office.chartcolorstyle+xml"/>
  <Override PartName="/xl/charts/chart23.xml" ContentType="application/vnd.openxmlformats-officedocument.drawingml.chart+xml"/>
  <Override PartName="/xl/charts/style17.xml" ContentType="application/vnd.ms-office.chartstyle+xml"/>
  <Override PartName="/xl/charts/colors17.xml" ContentType="application/vnd.ms-office.chartcolorstyle+xml"/>
  <Override PartName="/xl/charts/chart24.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9.xml" ContentType="application/vnd.openxmlformats-officedocument.drawing+xml"/>
  <Override PartName="/xl/slicers/slicer7.xml" ContentType="application/vnd.ms-excel.slicer+xml"/>
  <Override PartName="/xl/charts/chart25.xml" ContentType="application/vnd.openxmlformats-officedocument.drawingml.chart+xml"/>
  <Override PartName="/xl/charts/chart26.xml" ContentType="application/vnd.openxmlformats-officedocument.drawingml.chart+xml"/>
  <Override PartName="/xl/charts/style19.xml" ContentType="application/vnd.ms-office.chartstyle+xml"/>
  <Override PartName="/xl/charts/colors19.xml" ContentType="application/vnd.ms-office.chartcolorstyle+xml"/>
  <Override PartName="/xl/charts/chart27.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0.xml" ContentType="application/vnd.openxmlformats-officedocument.drawing+xml"/>
  <Override PartName="/xl/slicers/slicer8.xml" ContentType="application/vnd.ms-excel.slicer+xml"/>
  <Override PartName="/xl/charts/chart28.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nkran\OneDrive\Desktop\"/>
    </mc:Choice>
  </mc:AlternateContent>
  <xr:revisionPtr revIDLastSave="0" documentId="13_ncr:1_{77165B1A-4943-4C01-B838-459A2B2C6DC6}" xr6:coauthVersionLast="47" xr6:coauthVersionMax="47" xr10:uidLastSave="{00000000-0000-0000-0000-000000000000}"/>
  <bookViews>
    <workbookView xWindow="-108" yWindow="-108" windowWidth="23256" windowHeight="14616" tabRatio="834" xr2:uid="{DECD55C9-3436-490A-9E52-8D13C61A75A8}"/>
  </bookViews>
  <sheets>
    <sheet name="DASHBOARD" sheetId="1" r:id="rId1"/>
    <sheet name="Real Sector" sheetId="22" r:id="rId2"/>
    <sheet name="Monetary" sheetId="23" r:id="rId3"/>
    <sheet name="Inflation" sheetId="24" r:id="rId4"/>
    <sheet name="Labour" sheetId="25" r:id="rId5"/>
    <sheet name="External" sheetId="26" r:id="rId6"/>
    <sheet name="Fiscal" sheetId="27" r:id="rId7"/>
    <sheet name="Summary" sheetId="28" r:id="rId8"/>
    <sheet name="Control" sheetId="20" r:id="rId9"/>
    <sheet name="Processing" sheetId="21" r:id="rId10"/>
    <sheet name="Data" sheetId="19" r:id="rId11"/>
    <sheet name="Resources" sheetId="5" r:id="rId12"/>
  </sheets>
  <definedNames>
    <definedName name="Slicer_Year">#N/A</definedName>
  </definedNames>
  <calcPr calcId="191029"/>
  <pivotCaches>
    <pivotCache cacheId="0"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Y6" i="21" l="1"/>
  <c r="BY4" i="21"/>
  <c r="BW2" i="21"/>
  <c r="BW3" i="21"/>
  <c r="BW4" i="21"/>
  <c r="BW5" i="21"/>
  <c r="BW6" i="21"/>
  <c r="BW7" i="21"/>
  <c r="BW8" i="21"/>
  <c r="BW9" i="21"/>
  <c r="BW10" i="21"/>
  <c r="BW11" i="21"/>
  <c r="BW12" i="21"/>
  <c r="BW13" i="21"/>
  <c r="BW14" i="21"/>
  <c r="BW15" i="21"/>
  <c r="BW16" i="21"/>
  <c r="BW17" i="21"/>
  <c r="BW18" i="21"/>
  <c r="BW19" i="21"/>
  <c r="BW20" i="21"/>
  <c r="BW21" i="21"/>
  <c r="BW22" i="21"/>
  <c r="BW23" i="21"/>
  <c r="BW24" i="21"/>
  <c r="BW25" i="21"/>
  <c r="BW26" i="21"/>
  <c r="BW27" i="21"/>
  <c r="BV2" i="21"/>
  <c r="BV3" i="21"/>
  <c r="BV4" i="21"/>
  <c r="BV5" i="21"/>
  <c r="BV6" i="21"/>
  <c r="BV7" i="21"/>
  <c r="BV8" i="21"/>
  <c r="BV9" i="21"/>
  <c r="BV10" i="21"/>
  <c r="BV11" i="21"/>
  <c r="BV12" i="21"/>
  <c r="BV13" i="21"/>
  <c r="BV14" i="21"/>
  <c r="BV15" i="21"/>
  <c r="BV16" i="21"/>
  <c r="BV17" i="21"/>
  <c r="BV18" i="21"/>
  <c r="BV19" i="21"/>
  <c r="BV20" i="21"/>
  <c r="BV21" i="21"/>
  <c r="BV22" i="21"/>
  <c r="BV23" i="21"/>
  <c r="BV24" i="21"/>
  <c r="BV25" i="21"/>
  <c r="BV26" i="21"/>
  <c r="BV27" i="21"/>
  <c r="BU2" i="21"/>
  <c r="BU3" i="21"/>
  <c r="BU4" i="21"/>
  <c r="BU5" i="21"/>
  <c r="BU6" i="21"/>
  <c r="BU7" i="21"/>
  <c r="BU8" i="21"/>
  <c r="BU9" i="21"/>
  <c r="BU10" i="21"/>
  <c r="BU11" i="21"/>
  <c r="BU12" i="21"/>
  <c r="BU13" i="21"/>
  <c r="BU14" i="21"/>
  <c r="BU15" i="21"/>
  <c r="BU16" i="21"/>
  <c r="BU17" i="21"/>
  <c r="BU18" i="21"/>
  <c r="BU19" i="21"/>
  <c r="BU20" i="21"/>
  <c r="BU21" i="21"/>
  <c r="BU22" i="21"/>
  <c r="BU23" i="21"/>
  <c r="BU24" i="21"/>
  <c r="BU25" i="21"/>
  <c r="BU26" i="21"/>
  <c r="BU27" i="21"/>
  <c r="BT2" i="21"/>
  <c r="BT3" i="21"/>
  <c r="BT4" i="21"/>
  <c r="BT5" i="21"/>
  <c r="BT6" i="21"/>
  <c r="BT7" i="21"/>
  <c r="BT8" i="21"/>
  <c r="BT9" i="21"/>
  <c r="BT10" i="21"/>
  <c r="BT11" i="21"/>
  <c r="BT12" i="21"/>
  <c r="BT13" i="21"/>
  <c r="BT14" i="21"/>
  <c r="BT15" i="21"/>
  <c r="BT16" i="21"/>
  <c r="BT17" i="21"/>
  <c r="BT18" i="21"/>
  <c r="BT19" i="21"/>
  <c r="BT20" i="21"/>
  <c r="BT21" i="21"/>
  <c r="BT22" i="21"/>
  <c r="BT23" i="21"/>
  <c r="BT24" i="21"/>
  <c r="BT25" i="21"/>
  <c r="BT26" i="21"/>
  <c r="BT27" i="21"/>
  <c r="BS2" i="21"/>
  <c r="BS3" i="21"/>
  <c r="BS4" i="21"/>
  <c r="BS5" i="21"/>
  <c r="BS6" i="21"/>
  <c r="BS7" i="21"/>
  <c r="BS8" i="21"/>
  <c r="BS9" i="21"/>
  <c r="BS10" i="21"/>
  <c r="BS11" i="21"/>
  <c r="BS12" i="21"/>
  <c r="BS13" i="21"/>
  <c r="BS14" i="21"/>
  <c r="BS15" i="21"/>
  <c r="BS16" i="21"/>
  <c r="BS17" i="21"/>
  <c r="BS18" i="21"/>
  <c r="BS19" i="21"/>
  <c r="BS20" i="21"/>
  <c r="BS21" i="21"/>
  <c r="BS22" i="21"/>
  <c r="BS23" i="21"/>
  <c r="BS24" i="21"/>
  <c r="BS25" i="21"/>
  <c r="BS26" i="21"/>
  <c r="BS27" i="21"/>
  <c r="BQ2" i="21"/>
  <c r="BO2" i="21"/>
  <c r="BO3" i="21"/>
  <c r="BO4" i="21"/>
  <c r="BO5" i="21"/>
  <c r="BO6" i="21"/>
  <c r="BO7" i="21"/>
  <c r="BO8" i="21"/>
  <c r="BO9" i="21"/>
  <c r="BO10" i="21"/>
  <c r="BO11" i="21"/>
  <c r="BO12" i="21"/>
  <c r="BO13" i="21"/>
  <c r="BO14" i="21"/>
  <c r="BO15" i="21"/>
  <c r="BO16" i="21"/>
  <c r="BO17" i="21"/>
  <c r="BO18" i="21"/>
  <c r="BO19" i="21"/>
  <c r="BO20" i="21"/>
  <c r="BO21" i="21"/>
  <c r="BO22" i="21"/>
  <c r="BO23" i="21"/>
  <c r="BO24" i="21"/>
  <c r="BO25" i="21"/>
  <c r="BO26" i="21"/>
  <c r="BO27" i="21"/>
  <c r="BN2" i="21"/>
  <c r="BN3" i="21"/>
  <c r="BN4" i="21"/>
  <c r="BN5" i="21"/>
  <c r="BN6" i="21"/>
  <c r="BN7" i="21"/>
  <c r="BN8" i="21"/>
  <c r="BN9" i="21"/>
  <c r="BN10" i="21"/>
  <c r="BN11" i="21"/>
  <c r="BN12" i="21"/>
  <c r="BN13" i="21"/>
  <c r="BN14" i="21"/>
  <c r="BN15" i="21"/>
  <c r="BN16" i="21"/>
  <c r="BN17" i="21"/>
  <c r="BN18" i="21"/>
  <c r="BN19" i="21"/>
  <c r="BN20" i="21"/>
  <c r="BN21" i="21"/>
  <c r="BN22" i="21"/>
  <c r="BN23" i="21"/>
  <c r="BN24" i="21"/>
  <c r="BN25" i="21"/>
  <c r="BN26" i="21"/>
  <c r="BN27" i="21"/>
  <c r="BM2" i="21"/>
  <c r="BM3" i="21"/>
  <c r="BM4" i="21"/>
  <c r="BM5" i="21"/>
  <c r="BM6" i="21"/>
  <c r="BM7" i="21"/>
  <c r="BM8" i="21"/>
  <c r="BM9" i="21"/>
  <c r="BM10" i="21"/>
  <c r="BM11" i="21"/>
  <c r="BM12" i="21"/>
  <c r="BM13" i="21"/>
  <c r="BM14" i="21"/>
  <c r="BM15" i="21"/>
  <c r="BM16" i="21"/>
  <c r="BM17" i="21"/>
  <c r="BM18" i="21"/>
  <c r="BM19" i="21"/>
  <c r="BM20" i="21"/>
  <c r="BM21" i="21"/>
  <c r="BM22" i="21"/>
  <c r="BM23" i="21"/>
  <c r="BM24" i="21"/>
  <c r="BM25" i="21"/>
  <c r="BM26" i="21"/>
  <c r="BM27" i="21"/>
  <c r="BL2" i="21"/>
  <c r="BL3" i="21"/>
  <c r="BL4" i="21"/>
  <c r="BL5" i="21"/>
  <c r="BL6" i="21"/>
  <c r="BL7" i="21"/>
  <c r="BL8" i="21"/>
  <c r="BL9" i="21"/>
  <c r="BL10" i="21"/>
  <c r="BL11" i="21"/>
  <c r="BL12" i="21"/>
  <c r="BL13" i="21"/>
  <c r="BL14" i="21"/>
  <c r="BL15" i="21"/>
  <c r="BL16" i="21"/>
  <c r="BL17" i="21"/>
  <c r="BL18" i="21"/>
  <c r="BL19" i="21"/>
  <c r="BL20" i="21"/>
  <c r="BL21" i="21"/>
  <c r="BL22" i="21"/>
  <c r="BL23" i="21"/>
  <c r="BL24" i="21"/>
  <c r="BL25" i="21"/>
  <c r="BL26" i="21"/>
  <c r="BL27" i="21"/>
  <c r="BK2" i="21"/>
  <c r="BK3" i="21"/>
  <c r="BK4" i="21"/>
  <c r="BK5" i="21"/>
  <c r="BK6" i="21"/>
  <c r="BK7" i="21"/>
  <c r="BK8" i="21"/>
  <c r="BK9" i="21"/>
  <c r="BK10" i="21"/>
  <c r="BK11" i="21"/>
  <c r="BK12" i="21"/>
  <c r="BK13" i="21"/>
  <c r="BK14" i="21"/>
  <c r="BK15" i="21"/>
  <c r="BK16" i="21"/>
  <c r="BK17" i="21"/>
  <c r="BK18" i="21"/>
  <c r="BK19" i="21"/>
  <c r="BK20" i="21"/>
  <c r="BK21" i="21"/>
  <c r="BK22" i="21"/>
  <c r="BK23" i="21"/>
  <c r="BK24" i="21"/>
  <c r="BK25" i="21"/>
  <c r="BK26" i="21"/>
  <c r="BK27" i="21"/>
  <c r="BJ2" i="21"/>
  <c r="BJ3" i="21"/>
  <c r="BJ4" i="21"/>
  <c r="BJ5" i="21"/>
  <c r="BJ6" i="21"/>
  <c r="BJ7" i="21"/>
  <c r="BJ8" i="21"/>
  <c r="BJ9" i="21"/>
  <c r="BJ10" i="21"/>
  <c r="BJ11" i="21"/>
  <c r="BJ12" i="21"/>
  <c r="BJ13" i="21"/>
  <c r="BJ14" i="21"/>
  <c r="BJ15" i="21"/>
  <c r="BJ16" i="21"/>
  <c r="BJ17" i="21"/>
  <c r="BJ18" i="21"/>
  <c r="BJ19" i="21"/>
  <c r="BJ20" i="21"/>
  <c r="BJ21" i="21"/>
  <c r="BJ22" i="21"/>
  <c r="BJ23" i="21"/>
  <c r="BJ24" i="21"/>
  <c r="BJ25" i="21"/>
  <c r="BJ26" i="21"/>
  <c r="BJ27" i="21"/>
  <c r="BE2" i="21"/>
  <c r="BE3" i="21"/>
  <c r="BE4" i="21"/>
  <c r="BE5" i="21"/>
  <c r="BE6" i="21"/>
  <c r="BE7" i="21"/>
  <c r="BE8" i="21"/>
  <c r="BE9" i="21"/>
  <c r="BE10" i="21"/>
  <c r="BE11" i="21"/>
  <c r="BE12" i="21"/>
  <c r="BE13" i="21"/>
  <c r="BE14" i="21"/>
  <c r="BE15" i="21"/>
  <c r="BE16" i="21"/>
  <c r="BE17" i="21"/>
  <c r="BE18" i="21"/>
  <c r="BE19" i="21"/>
  <c r="BE20" i="21"/>
  <c r="BE21" i="21"/>
  <c r="BE22" i="21"/>
  <c r="BE23" i="21"/>
  <c r="BE24" i="21"/>
  <c r="BE25" i="21"/>
  <c r="BE26" i="21"/>
  <c r="BE27" i="21"/>
  <c r="BD2" i="21"/>
  <c r="BD3" i="21"/>
  <c r="BD4" i="21"/>
  <c r="BD5" i="21"/>
  <c r="BD6" i="21"/>
  <c r="BD7" i="21"/>
  <c r="BD8" i="21"/>
  <c r="BD9" i="21"/>
  <c r="BD10" i="21"/>
  <c r="BD11" i="21"/>
  <c r="BD12" i="21"/>
  <c r="BD13" i="21"/>
  <c r="BD14" i="21"/>
  <c r="BD15" i="21"/>
  <c r="BD16" i="21"/>
  <c r="BD17" i="21"/>
  <c r="BD18" i="21"/>
  <c r="BD19" i="21"/>
  <c r="BD20" i="21"/>
  <c r="BD21" i="21"/>
  <c r="BD22" i="21"/>
  <c r="BD23" i="21"/>
  <c r="BD24" i="21"/>
  <c r="BD25" i="21"/>
  <c r="BD26" i="21"/>
  <c r="BD27" i="21"/>
  <c r="BC2" i="21"/>
  <c r="BC3" i="21"/>
  <c r="BC4" i="21"/>
  <c r="BC5" i="21"/>
  <c r="BC6" i="21"/>
  <c r="BC7" i="21"/>
  <c r="BC8" i="21"/>
  <c r="BC9" i="21"/>
  <c r="BC10" i="21"/>
  <c r="BC11" i="21"/>
  <c r="BC12" i="21"/>
  <c r="BC13" i="21"/>
  <c r="BC14" i="21"/>
  <c r="BC15" i="21"/>
  <c r="BC16" i="21"/>
  <c r="BC17" i="21"/>
  <c r="BC18" i="21"/>
  <c r="BC19" i="21"/>
  <c r="BC20" i="21"/>
  <c r="BC21" i="21"/>
  <c r="BC22" i="21"/>
  <c r="BC23" i="21"/>
  <c r="BC24" i="21"/>
  <c r="BC25" i="21"/>
  <c r="BC26" i="21"/>
  <c r="BC27" i="21"/>
  <c r="BH2" i="21"/>
  <c r="BH3" i="21"/>
  <c r="BH4" i="21"/>
  <c r="BH5" i="21"/>
  <c r="BH6" i="21"/>
  <c r="BH7" i="21"/>
  <c r="BH8" i="21"/>
  <c r="BH9" i="21"/>
  <c r="BH10" i="21"/>
  <c r="BH11" i="21"/>
  <c r="BH12" i="21"/>
  <c r="BH13" i="21"/>
  <c r="BH14" i="21"/>
  <c r="BH15" i="21"/>
  <c r="BH16" i="21"/>
  <c r="BH17" i="21"/>
  <c r="BH18" i="21"/>
  <c r="BH19" i="21"/>
  <c r="BH20" i="21"/>
  <c r="BH21" i="21"/>
  <c r="BH22" i="21"/>
  <c r="BH23" i="21"/>
  <c r="BH24" i="21"/>
  <c r="BH25" i="21"/>
  <c r="BH26" i="21"/>
  <c r="BH27" i="21"/>
  <c r="BG2" i="21"/>
  <c r="BG3" i="21"/>
  <c r="BG4" i="21"/>
  <c r="BG5" i="21"/>
  <c r="BG6" i="21"/>
  <c r="BG7" i="21"/>
  <c r="BG8" i="21"/>
  <c r="BG9" i="21"/>
  <c r="BG10" i="21"/>
  <c r="BG11" i="21"/>
  <c r="BG12" i="21"/>
  <c r="BG13" i="21"/>
  <c r="BG14" i="21"/>
  <c r="BG15" i="21"/>
  <c r="BG16" i="21"/>
  <c r="BG17" i="21"/>
  <c r="BG18" i="21"/>
  <c r="BG19" i="21"/>
  <c r="BG20" i="21"/>
  <c r="BG21" i="21"/>
  <c r="BG22" i="21"/>
  <c r="BG23" i="21"/>
  <c r="BG24" i="21"/>
  <c r="BG25" i="21"/>
  <c r="BG26" i="21"/>
  <c r="BG27" i="21"/>
  <c r="BF2" i="21"/>
  <c r="BF3" i="21"/>
  <c r="BF4" i="21"/>
  <c r="BF5" i="21"/>
  <c r="BF6" i="21"/>
  <c r="BF7" i="21"/>
  <c r="BF8" i="21"/>
  <c r="BF9" i="21"/>
  <c r="BF10" i="21"/>
  <c r="BF11" i="21"/>
  <c r="BF12" i="21"/>
  <c r="BF13" i="21"/>
  <c r="BF14" i="21"/>
  <c r="BF15" i="21"/>
  <c r="BF16" i="21"/>
  <c r="BF17" i="21"/>
  <c r="BF18" i="21"/>
  <c r="BF19" i="21"/>
  <c r="BF20" i="21"/>
  <c r="BF21" i="21"/>
  <c r="BF22" i="21"/>
  <c r="BF23" i="21"/>
  <c r="BF24" i="21"/>
  <c r="BF25" i="21"/>
  <c r="BF26" i="21"/>
  <c r="BF27" i="21"/>
  <c r="BB2" i="21"/>
  <c r="BB3" i="21"/>
  <c r="BB4" i="21"/>
  <c r="BB5" i="21"/>
  <c r="BB6" i="21"/>
  <c r="BB7" i="21"/>
  <c r="BB8" i="21"/>
  <c r="BB9" i="21"/>
  <c r="BB10" i="21"/>
  <c r="BB11" i="21"/>
  <c r="BB12" i="21"/>
  <c r="BB13" i="21"/>
  <c r="BB14" i="21"/>
  <c r="BB15" i="21"/>
  <c r="BB16" i="21"/>
  <c r="BB17" i="21"/>
  <c r="BB18" i="21"/>
  <c r="BB19" i="21"/>
  <c r="BB20" i="21"/>
  <c r="BB21" i="21"/>
  <c r="BB22" i="21"/>
  <c r="BB23" i="21"/>
  <c r="BB24" i="21"/>
  <c r="BB25" i="21"/>
  <c r="BB26" i="21"/>
  <c r="BB27" i="21"/>
  <c r="AZ5" i="21"/>
  <c r="AZ4" i="21"/>
  <c r="AZ3" i="21"/>
  <c r="AZ2" i="21"/>
  <c r="AZ1" i="21"/>
  <c r="AW2" i="21"/>
  <c r="AW3" i="21"/>
  <c r="AW4" i="21"/>
  <c r="AW5" i="21"/>
  <c r="AW6" i="21"/>
  <c r="AW7" i="21"/>
  <c r="AW8" i="21"/>
  <c r="AW9" i="21"/>
  <c r="AW10" i="21"/>
  <c r="AW11" i="21"/>
  <c r="AW12" i="21"/>
  <c r="AW13" i="21"/>
  <c r="AW14" i="21"/>
  <c r="AW15" i="21"/>
  <c r="AW16" i="21"/>
  <c r="AW17" i="21"/>
  <c r="AW18" i="21"/>
  <c r="AW19" i="21"/>
  <c r="AW20" i="21"/>
  <c r="AW21" i="21"/>
  <c r="AW22" i="21"/>
  <c r="AW23" i="21"/>
  <c r="AW24" i="21"/>
  <c r="AW25" i="21"/>
  <c r="AW26" i="21"/>
  <c r="AW27" i="21"/>
  <c r="AV2" i="21"/>
  <c r="AV3" i="21"/>
  <c r="AV4" i="21"/>
  <c r="AV5" i="21"/>
  <c r="AV6" i="21"/>
  <c r="AV7" i="21"/>
  <c r="AV8" i="21"/>
  <c r="AV9" i="21"/>
  <c r="AV10" i="21"/>
  <c r="AV11" i="21"/>
  <c r="AV12" i="21"/>
  <c r="AV13" i="21"/>
  <c r="AV14" i="21"/>
  <c r="AV15" i="21"/>
  <c r="AV16" i="21"/>
  <c r="AV17" i="21"/>
  <c r="AV18" i="21"/>
  <c r="AV19" i="21"/>
  <c r="AV20" i="21"/>
  <c r="AV21" i="21"/>
  <c r="AV22" i="21"/>
  <c r="AV23" i="21"/>
  <c r="AV24" i="21"/>
  <c r="AV25" i="21"/>
  <c r="AV26" i="21"/>
  <c r="AV27" i="21"/>
  <c r="AU2" i="21"/>
  <c r="AU3" i="21"/>
  <c r="AU4" i="21"/>
  <c r="AU5" i="21"/>
  <c r="AU6" i="21"/>
  <c r="AU7" i="21"/>
  <c r="AU8" i="21"/>
  <c r="AU9" i="21"/>
  <c r="AU10" i="21"/>
  <c r="AU11" i="21"/>
  <c r="AU12" i="21"/>
  <c r="AU13" i="21"/>
  <c r="AU14" i="21"/>
  <c r="AU15" i="21"/>
  <c r="AU16" i="21"/>
  <c r="AU17" i="21"/>
  <c r="AU18" i="21"/>
  <c r="AU19" i="21"/>
  <c r="AU20" i="21"/>
  <c r="AU21" i="21"/>
  <c r="AU22" i="21"/>
  <c r="AU23" i="21"/>
  <c r="AU24" i="21"/>
  <c r="AU25" i="21"/>
  <c r="AU26" i="21"/>
  <c r="AU27" i="21"/>
  <c r="AT2" i="21"/>
  <c r="AT3" i="21"/>
  <c r="AT4" i="21"/>
  <c r="AT5" i="21"/>
  <c r="AT6" i="21"/>
  <c r="AT7" i="21"/>
  <c r="AT8" i="21"/>
  <c r="AT9" i="21"/>
  <c r="AT10" i="21"/>
  <c r="AT11" i="21"/>
  <c r="AT12" i="21"/>
  <c r="AT13" i="21"/>
  <c r="AT14" i="21"/>
  <c r="AT15" i="21"/>
  <c r="AT16" i="21"/>
  <c r="AT17" i="21"/>
  <c r="AT18" i="21"/>
  <c r="AT19" i="21"/>
  <c r="AT20" i="21"/>
  <c r="AT21" i="21"/>
  <c r="AT22" i="21"/>
  <c r="AT23" i="21"/>
  <c r="AT24" i="21"/>
  <c r="AT25" i="21"/>
  <c r="AT26" i="21"/>
  <c r="AT27" i="21"/>
  <c r="AS2" i="21"/>
  <c r="AS3" i="21"/>
  <c r="AS4" i="21"/>
  <c r="AS5" i="21"/>
  <c r="AS6" i="21"/>
  <c r="AS7" i="21"/>
  <c r="AS8" i="21"/>
  <c r="AS9" i="21"/>
  <c r="AS10" i="21"/>
  <c r="AS11" i="21"/>
  <c r="AS12" i="21"/>
  <c r="AS13" i="21"/>
  <c r="AS14" i="21"/>
  <c r="AS15" i="21"/>
  <c r="AS16" i="21"/>
  <c r="AS17" i="21"/>
  <c r="AS18" i="21"/>
  <c r="AS19" i="21"/>
  <c r="AS20" i="21"/>
  <c r="AS21" i="21"/>
  <c r="AS22" i="21"/>
  <c r="AS23" i="21"/>
  <c r="AS24" i="21"/>
  <c r="AS25" i="21"/>
  <c r="AS26" i="21"/>
  <c r="AS27" i="21"/>
  <c r="AR2" i="21"/>
  <c r="AR3" i="21"/>
  <c r="AR4" i="21"/>
  <c r="AR5" i="21"/>
  <c r="AR6" i="21"/>
  <c r="AR7" i="21"/>
  <c r="AR8" i="21"/>
  <c r="AR9" i="21"/>
  <c r="AR10" i="21"/>
  <c r="AR11" i="21"/>
  <c r="AR12" i="21"/>
  <c r="AR13" i="21"/>
  <c r="AR14" i="21"/>
  <c r="AR15" i="21"/>
  <c r="AR16" i="21"/>
  <c r="AR17" i="21"/>
  <c r="AR18" i="21"/>
  <c r="AR19" i="21"/>
  <c r="AR20" i="21"/>
  <c r="AR21" i="21"/>
  <c r="AR22" i="21"/>
  <c r="AR23" i="21"/>
  <c r="AR24" i="21"/>
  <c r="AR25" i="21"/>
  <c r="AR26" i="21"/>
  <c r="AR27" i="21"/>
  <c r="AH13" i="21"/>
  <c r="AH12" i="21"/>
  <c r="AH11" i="21"/>
  <c r="AO1" i="21" a="1"/>
  <c r="AO1" i="21" s="1"/>
  <c r="AN1" i="21" a="1"/>
  <c r="AN1" i="21" s="1"/>
  <c r="AL2" i="21"/>
  <c r="AL3" i="21"/>
  <c r="AL4" i="21"/>
  <c r="AL5" i="21"/>
  <c r="AL6" i="21"/>
  <c r="AL7" i="21"/>
  <c r="AL8" i="21"/>
  <c r="AL9" i="21"/>
  <c r="AL10" i="21"/>
  <c r="AL11" i="21"/>
  <c r="AL12" i="21"/>
  <c r="AL13" i="21"/>
  <c r="AL14" i="21"/>
  <c r="AL15" i="21"/>
  <c r="AL16" i="21"/>
  <c r="AL17" i="21"/>
  <c r="AL18" i="21"/>
  <c r="AL19" i="21"/>
  <c r="AL20" i="21"/>
  <c r="AL21" i="21"/>
  <c r="AL22" i="21"/>
  <c r="AL23" i="21"/>
  <c r="AL24" i="21"/>
  <c r="AL25" i="21"/>
  <c r="AL26" i="21"/>
  <c r="AL27" i="21"/>
  <c r="AK2" i="21"/>
  <c r="AK3" i="21"/>
  <c r="AK4" i="21"/>
  <c r="AK5" i="21"/>
  <c r="AK6" i="21"/>
  <c r="AK7" i="21"/>
  <c r="AK8" i="21"/>
  <c r="AK9" i="21"/>
  <c r="AK10" i="21"/>
  <c r="AK11" i="21"/>
  <c r="AK12" i="21"/>
  <c r="AK13" i="21"/>
  <c r="AK14" i="21"/>
  <c r="AK15" i="21"/>
  <c r="AK16" i="21"/>
  <c r="AK17" i="21"/>
  <c r="AK18" i="21"/>
  <c r="AK19" i="21"/>
  <c r="AK20" i="21"/>
  <c r="AK21" i="21"/>
  <c r="AK22" i="21"/>
  <c r="AK23" i="21"/>
  <c r="AK24" i="21"/>
  <c r="AK25" i="21"/>
  <c r="AK26" i="21"/>
  <c r="AK27" i="21"/>
  <c r="AJ2" i="21"/>
  <c r="AJ3" i="21"/>
  <c r="AJ4" i="21"/>
  <c r="AJ5" i="21"/>
  <c r="AJ6" i="21"/>
  <c r="AJ7" i="21"/>
  <c r="AJ8" i="21"/>
  <c r="AJ9" i="21"/>
  <c r="AJ10" i="21"/>
  <c r="AJ11" i="21"/>
  <c r="AJ12" i="21"/>
  <c r="AJ13" i="21"/>
  <c r="AJ14" i="21"/>
  <c r="AJ15" i="21"/>
  <c r="AJ16" i="21"/>
  <c r="AJ17" i="21"/>
  <c r="AJ18" i="21"/>
  <c r="AJ19" i="21"/>
  <c r="AJ20" i="21"/>
  <c r="AJ21" i="21"/>
  <c r="AJ22" i="21"/>
  <c r="AJ23" i="21"/>
  <c r="AJ24" i="21"/>
  <c r="AJ25" i="21"/>
  <c r="AJ26" i="21"/>
  <c r="AJ27" i="21"/>
  <c r="AH7" i="21"/>
  <c r="AH2" i="21"/>
  <c r="AH4" i="21"/>
  <c r="AH3" i="21"/>
  <c r="AD28" i="21"/>
  <c r="AC28" i="21"/>
  <c r="AB28" i="21"/>
  <c r="AD2" i="21" a="1"/>
  <c r="AD2" i="21" s="1"/>
  <c r="AC2" i="21" a="1"/>
  <c r="AC2" i="21" s="1"/>
  <c r="AB2" i="21" a="1"/>
  <c r="AB2" i="21" s="1"/>
  <c r="U28" i="21"/>
  <c r="T28" i="21"/>
  <c r="V28" i="21" s="1"/>
  <c r="W2" i="21" s="1"/>
  <c r="M28" i="21"/>
  <c r="L28" i="21"/>
  <c r="N28" i="21" s="1"/>
  <c r="O2" i="21" s="1"/>
  <c r="T2" i="21"/>
  <c r="V2" i="21" s="1"/>
  <c r="U2" i="21"/>
  <c r="T3" i="21"/>
  <c r="V3" i="21" s="1"/>
  <c r="U3" i="21"/>
  <c r="T4" i="21"/>
  <c r="V4" i="21" s="1"/>
  <c r="U4" i="21"/>
  <c r="T5" i="21"/>
  <c r="V5" i="21" s="1"/>
  <c r="U5" i="21"/>
  <c r="T6" i="21"/>
  <c r="V6" i="21" s="1"/>
  <c r="U6" i="21"/>
  <c r="T7" i="21"/>
  <c r="V7" i="21" s="1"/>
  <c r="U7" i="21"/>
  <c r="T8" i="21"/>
  <c r="V8" i="21" s="1"/>
  <c r="U8" i="21"/>
  <c r="T9" i="21"/>
  <c r="V9" i="21" s="1"/>
  <c r="U9" i="21"/>
  <c r="T10" i="21"/>
  <c r="V10" i="21" s="1"/>
  <c r="U10" i="21"/>
  <c r="T11" i="21"/>
  <c r="V11" i="21" s="1"/>
  <c r="U11" i="21"/>
  <c r="T12" i="21"/>
  <c r="V12" i="21" s="1"/>
  <c r="U12" i="21"/>
  <c r="T13" i="21"/>
  <c r="V13" i="21" s="1"/>
  <c r="U13" i="21"/>
  <c r="T14" i="21"/>
  <c r="V14" i="21" s="1"/>
  <c r="U14" i="21"/>
  <c r="T15" i="21"/>
  <c r="V15" i="21" s="1"/>
  <c r="U15" i="21"/>
  <c r="T16" i="21"/>
  <c r="V16" i="21" s="1"/>
  <c r="U16" i="21"/>
  <c r="T17" i="21"/>
  <c r="V17" i="21" s="1"/>
  <c r="U17" i="21"/>
  <c r="T18" i="21"/>
  <c r="V18" i="21" s="1"/>
  <c r="U18" i="21"/>
  <c r="T19" i="21"/>
  <c r="V19" i="21" s="1"/>
  <c r="U19" i="21"/>
  <c r="T20" i="21"/>
  <c r="V20" i="21" s="1"/>
  <c r="U20" i="21"/>
  <c r="T21" i="21"/>
  <c r="V21" i="21" s="1"/>
  <c r="U21" i="21"/>
  <c r="T22" i="21"/>
  <c r="V22" i="21" s="1"/>
  <c r="U22" i="21"/>
  <c r="T23" i="21"/>
  <c r="V23" i="21" s="1"/>
  <c r="U23" i="21"/>
  <c r="T24" i="21"/>
  <c r="V24" i="21" s="1"/>
  <c r="U24" i="21"/>
  <c r="T25" i="21"/>
  <c r="V25" i="21" s="1"/>
  <c r="U25" i="21"/>
  <c r="T26" i="21"/>
  <c r="V26" i="21" s="1"/>
  <c r="U26" i="21"/>
  <c r="T27" i="21"/>
  <c r="V27" i="21" s="1"/>
  <c r="U27" i="21"/>
  <c r="M2" i="21"/>
  <c r="M3" i="21"/>
  <c r="M4" i="21"/>
  <c r="M5" i="21"/>
  <c r="M6" i="21"/>
  <c r="M7" i="21"/>
  <c r="M8" i="21"/>
  <c r="M9" i="21"/>
  <c r="M10" i="21"/>
  <c r="M11" i="21"/>
  <c r="M12" i="21"/>
  <c r="M13" i="21"/>
  <c r="M14" i="21"/>
  <c r="M15" i="21"/>
  <c r="M16" i="21"/>
  <c r="M17" i="21"/>
  <c r="M18" i="21"/>
  <c r="M19" i="21"/>
  <c r="M20" i="21"/>
  <c r="M21" i="21"/>
  <c r="M22" i="21"/>
  <c r="M23" i="21"/>
  <c r="M24" i="21"/>
  <c r="M25" i="21"/>
  <c r="M26" i="21"/>
  <c r="M27" i="21"/>
  <c r="L3" i="21"/>
  <c r="N3" i="21" s="1"/>
  <c r="L4" i="21"/>
  <c r="N4" i="21" s="1"/>
  <c r="L5" i="21"/>
  <c r="N5" i="21" s="1"/>
  <c r="L6" i="21"/>
  <c r="N6" i="21" s="1"/>
  <c r="L7" i="21"/>
  <c r="N7" i="21" s="1"/>
  <c r="L8" i="21"/>
  <c r="N8" i="21" s="1"/>
  <c r="L9" i="21"/>
  <c r="N9" i="21" s="1"/>
  <c r="L10" i="21"/>
  <c r="N10" i="21" s="1"/>
  <c r="L11" i="21"/>
  <c r="N11" i="21" s="1"/>
  <c r="L12" i="21"/>
  <c r="N12" i="21" s="1"/>
  <c r="L13" i="21"/>
  <c r="N13" i="21" s="1"/>
  <c r="L14" i="21"/>
  <c r="N14" i="21" s="1"/>
  <c r="L15" i="21"/>
  <c r="N15" i="21" s="1"/>
  <c r="L16" i="21"/>
  <c r="N16" i="21" s="1"/>
  <c r="L17" i="21"/>
  <c r="N17" i="21" s="1"/>
  <c r="L18" i="21"/>
  <c r="N18" i="21" s="1"/>
  <c r="L19" i="21"/>
  <c r="N19" i="21" s="1"/>
  <c r="L20" i="21"/>
  <c r="N20" i="21" s="1"/>
  <c r="L21" i="21"/>
  <c r="N21" i="21" s="1"/>
  <c r="L22" i="21"/>
  <c r="N22" i="21" s="1"/>
  <c r="L23" i="21"/>
  <c r="N23" i="21" s="1"/>
  <c r="L24" i="21"/>
  <c r="N24" i="21" s="1"/>
  <c r="L25" i="21"/>
  <c r="N25" i="21" s="1"/>
  <c r="L26" i="21"/>
  <c r="N26" i="21" s="1"/>
  <c r="L27" i="21"/>
  <c r="N27" i="21" s="1"/>
  <c r="L2" i="21"/>
  <c r="N2" i="21" s="1"/>
  <c r="E28" i="21"/>
  <c r="D28" i="21"/>
  <c r="H2" i="21"/>
  <c r="H3" i="21"/>
  <c r="H4" i="21"/>
  <c r="H5" i="21"/>
  <c r="H6" i="21"/>
  <c r="H7" i="21"/>
  <c r="H8" i="21"/>
  <c r="H9" i="21"/>
  <c r="H10" i="21"/>
  <c r="H11" i="21"/>
  <c r="H12" i="21"/>
  <c r="H13" i="21"/>
  <c r="H14" i="21"/>
  <c r="H15" i="21"/>
  <c r="H16" i="21"/>
  <c r="H17" i="21"/>
  <c r="H18" i="21"/>
  <c r="H19" i="21"/>
  <c r="H20" i="21"/>
  <c r="H21" i="21"/>
  <c r="H22" i="21"/>
  <c r="H23" i="21"/>
  <c r="H24" i="21"/>
  <c r="H25" i="21"/>
  <c r="H26" i="21"/>
  <c r="H27" i="21"/>
  <c r="G3" i="21"/>
  <c r="G4" i="21"/>
  <c r="G5" i="21"/>
  <c r="G6" i="21"/>
  <c r="G7" i="21"/>
  <c r="G8" i="21"/>
  <c r="G9" i="21"/>
  <c r="G10" i="21"/>
  <c r="G11" i="21"/>
  <c r="G12" i="21"/>
  <c r="G13" i="21"/>
  <c r="G14" i="21"/>
  <c r="G15" i="21"/>
  <c r="G16" i="21"/>
  <c r="G17" i="21"/>
  <c r="G18" i="21"/>
  <c r="G19" i="21"/>
  <c r="G20" i="21"/>
  <c r="G21" i="21"/>
  <c r="G22" i="21"/>
  <c r="G23" i="21"/>
  <c r="G24" i="21"/>
  <c r="G25" i="21"/>
  <c r="G26" i="21"/>
  <c r="G27" i="21"/>
  <c r="G2" i="21"/>
  <c r="E2" i="21"/>
  <c r="E3" i="21"/>
  <c r="E4" i="21"/>
  <c r="E5" i="21"/>
  <c r="E6" i="21"/>
  <c r="E7" i="21"/>
  <c r="E8" i="21"/>
  <c r="E9" i="21"/>
  <c r="E10" i="21"/>
  <c r="E11" i="21"/>
  <c r="E12" i="21"/>
  <c r="E13" i="21"/>
  <c r="E14" i="21"/>
  <c r="E15" i="21"/>
  <c r="E16" i="21"/>
  <c r="E17" i="21"/>
  <c r="E18" i="21"/>
  <c r="E19" i="21"/>
  <c r="E20" i="21"/>
  <c r="E21" i="21"/>
  <c r="E22" i="21"/>
  <c r="E23" i="21"/>
  <c r="E24" i="21"/>
  <c r="E25" i="21"/>
  <c r="E26" i="21"/>
  <c r="E27" i="21"/>
  <c r="D3" i="21"/>
  <c r="D4" i="21"/>
  <c r="D5" i="21"/>
  <c r="D6" i="21"/>
  <c r="D7" i="21"/>
  <c r="D8" i="21"/>
  <c r="D9" i="21"/>
  <c r="D10" i="21"/>
  <c r="D11" i="21"/>
  <c r="D12" i="21"/>
  <c r="D13" i="21"/>
  <c r="D14" i="21"/>
  <c r="D15" i="21"/>
  <c r="D16" i="21"/>
  <c r="D17" i="21"/>
  <c r="D18" i="21"/>
  <c r="D19" i="21"/>
  <c r="D20" i="21"/>
  <c r="D21" i="21"/>
  <c r="D22" i="21"/>
  <c r="D23" i="21"/>
  <c r="D24" i="21"/>
  <c r="D25" i="21"/>
  <c r="D26" i="21"/>
  <c r="D27" i="21"/>
  <c r="D2" i="21"/>
  <c r="C28" i="21" s="1"/>
  <c r="B3" i="21"/>
  <c r="B4" i="21"/>
  <c r="B5" i="21"/>
  <c r="B6" i="21"/>
  <c r="B7" i="21"/>
  <c r="B8" i="21"/>
  <c r="B9" i="21"/>
  <c r="B10" i="21"/>
  <c r="B11" i="21"/>
  <c r="B12" i="21"/>
  <c r="B13" i="21"/>
  <c r="B14" i="21"/>
  <c r="B15" i="21"/>
  <c r="B16" i="21"/>
  <c r="B17" i="21"/>
  <c r="B18" i="21"/>
  <c r="B19" i="21"/>
  <c r="B20" i="21"/>
  <c r="B21" i="21"/>
  <c r="B22" i="21"/>
  <c r="B23" i="21"/>
  <c r="B24" i="21"/>
  <c r="B25" i="21"/>
  <c r="B26" i="21"/>
  <c r="B27" i="21"/>
  <c r="B2" i="21"/>
  <c r="AH5" i="21" l="1"/>
  <c r="AH8" i="21" s="1"/>
  <c r="X2" i="21"/>
  <c r="Y3" i="21"/>
  <c r="Z3" i="21"/>
  <c r="P2" i="21"/>
  <c r="R3" i="21"/>
  <c r="Q3" i="21"/>
  <c r="C2" i="21"/>
  <c r="C27" i="21"/>
  <c r="C26" i="21"/>
  <c r="C25" i="21"/>
  <c r="C24" i="21"/>
  <c r="C23" i="21"/>
  <c r="C22" i="21"/>
  <c r="C21" i="21"/>
  <c r="C20" i="21"/>
  <c r="C19" i="21"/>
  <c r="C18" i="21"/>
  <c r="C17" i="21"/>
  <c r="C16" i="21"/>
  <c r="C15" i="21"/>
  <c r="C14" i="21"/>
  <c r="C13" i="21"/>
  <c r="C12" i="21"/>
  <c r="C11" i="21"/>
  <c r="C10" i="21"/>
  <c r="C9" i="21"/>
  <c r="C8" i="21"/>
  <c r="C7" i="21"/>
  <c r="C6" i="21"/>
  <c r="C5" i="21"/>
  <c r="F5" i="21" s="1"/>
  <c r="C4" i="21"/>
  <c r="F4" i="21" s="1"/>
  <c r="C3" i="21"/>
  <c r="F3" i="21" s="1"/>
  <c r="J3" i="21"/>
  <c r="I3" i="21"/>
  <c r="J4" i="21"/>
  <c r="I4" i="21"/>
  <c r="I5" i="21"/>
  <c r="J5" i="21"/>
  <c r="J6" i="21"/>
  <c r="J7" i="21"/>
  <c r="J8" i="21"/>
  <c r="J9" i="21"/>
  <c r="J10" i="21"/>
  <c r="J11" i="21"/>
  <c r="J12" i="21"/>
  <c r="J13" i="21"/>
  <c r="J14" i="21"/>
  <c r="J15" i="21"/>
  <c r="J16" i="21"/>
  <c r="J17" i="21"/>
  <c r="J18" i="21"/>
  <c r="J19" i="21"/>
  <c r="J20" i="21"/>
  <c r="J21" i="21"/>
  <c r="J22" i="21"/>
  <c r="J23" i="21"/>
  <c r="J24" i="21"/>
  <c r="J25" i="21"/>
  <c r="J26" i="21"/>
  <c r="J27" i="21"/>
  <c r="J2" i="21"/>
  <c r="F14" i="21" l="1"/>
  <c r="I14" i="21"/>
  <c r="F13" i="21"/>
  <c r="I13" i="21"/>
  <c r="F12" i="21"/>
  <c r="I12" i="21"/>
  <c r="F8" i="21"/>
  <c r="I8" i="21"/>
  <c r="F7" i="21"/>
  <c r="I7" i="21"/>
  <c r="F6" i="21"/>
  <c r="I6" i="21"/>
  <c r="F10" i="21"/>
  <c r="I10" i="21"/>
  <c r="F9" i="21"/>
  <c r="I9" i="21"/>
  <c r="F2" i="21"/>
  <c r="I2" i="21"/>
  <c r="F27" i="21"/>
  <c r="I27" i="21"/>
  <c r="F26" i="21"/>
  <c r="I26" i="21"/>
  <c r="F25" i="21"/>
  <c r="I25" i="21"/>
  <c r="F24" i="21"/>
  <c r="I24" i="21"/>
  <c r="F23" i="21"/>
  <c r="I23" i="21"/>
  <c r="F22" i="21"/>
  <c r="I22" i="21"/>
  <c r="F21" i="21"/>
  <c r="I21" i="21"/>
  <c r="F20" i="21"/>
  <c r="I20" i="21"/>
  <c r="F19" i="21"/>
  <c r="I19" i="21"/>
  <c r="F18" i="21"/>
  <c r="I18" i="21"/>
  <c r="F17" i="21"/>
  <c r="I17" i="21"/>
  <c r="F16" i="21"/>
  <c r="I16" i="21"/>
  <c r="F15" i="21"/>
  <c r="I15" i="21"/>
  <c r="F11" i="21"/>
  <c r="I11" i="2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<sst xmlns="http://schemas.openxmlformats.org/spreadsheetml/2006/main" count="200" uniqueCount="125">
  <si>
    <t>Colors</t>
  </si>
  <si>
    <t>Position</t>
  </si>
  <si>
    <t>Angle</t>
  </si>
  <si>
    <t>Transparency</t>
  </si>
  <si>
    <t>Shadow</t>
  </si>
  <si>
    <t>[&gt;=1000]0,"k";[&lt;=-1000]-0,"k";0</t>
  </si>
  <si>
    <t>indent</t>
  </si>
  <si>
    <t>Marker</t>
  </si>
  <si>
    <t>Row Labels</t>
  </si>
  <si>
    <t>Grand Total</t>
  </si>
  <si>
    <t>X</t>
  </si>
  <si>
    <t>Y</t>
  </si>
  <si>
    <t>#12143D</t>
  </si>
  <si>
    <t>#1F2357</t>
  </si>
  <si>
    <t>#10123B</t>
  </si>
  <si>
    <t>Line</t>
  </si>
  <si>
    <t>#4647A6</t>
  </si>
  <si>
    <t>#333787</t>
  </si>
  <si>
    <t>#20245A</t>
  </si>
  <si>
    <t>#B9C1FF</t>
  </si>
  <si>
    <t>#3D4098</t>
  </si>
  <si>
    <t>#323687</t>
  </si>
  <si>
    <t>#10123A</t>
  </si>
  <si>
    <t>#A2D8F0</t>
  </si>
  <si>
    <t>#5D63D1</t>
  </si>
  <si>
    <t>#2E327A</t>
  </si>
  <si>
    <t>#CEC5FF</t>
  </si>
  <si>
    <t>#6372A4</t>
  </si>
  <si>
    <t>#0575F1</t>
  </si>
  <si>
    <t>$#,##0;-$#,##0;0</t>
  </si>
  <si>
    <t>#2C3076</t>
  </si>
  <si>
    <t>#22255C</t>
  </si>
  <si>
    <t>#2069F0</t>
  </si>
  <si>
    <t>#9933FF</t>
  </si>
  <si>
    <t>#22248D</t>
  </si>
  <si>
    <t>#060839</t>
  </si>
  <si>
    <t>#7079FF</t>
  </si>
  <si>
    <t>#1C1D86</t>
  </si>
  <si>
    <t>#374AEC</t>
  </si>
  <si>
    <t>#1B2399</t>
  </si>
  <si>
    <t>#7C93FD</t>
  </si>
  <si>
    <t>#4641D1</t>
  </si>
  <si>
    <t>#0093CE</t>
  </si>
  <si>
    <t>#FF00FF</t>
  </si>
  <si>
    <t>#808AEC</t>
  </si>
  <si>
    <t>#4A59E4</t>
  </si>
  <si>
    <t>#3647E3</t>
  </si>
  <si>
    <t>#8D76FC</t>
  </si>
  <si>
    <t>#0070B1</t>
  </si>
  <si>
    <t>#00B7D2</t>
  </si>
  <si>
    <t>#3A5CE2</t>
  </si>
  <si>
    <t>#476BEE</t>
  </si>
  <si>
    <t>#8701DA</t>
  </si>
  <si>
    <t>#AD27FE</t>
  </si>
  <si>
    <t>#34349E</t>
  </si>
  <si>
    <t>#212469</t>
  </si>
  <si>
    <t>#8199F3</t>
  </si>
  <si>
    <t>#CAD4FA</t>
  </si>
  <si>
    <t>https://exceltable.com/</t>
  </si>
  <si>
    <t>Year</t>
  </si>
  <si>
    <t>Real_GDP_Growth</t>
  </si>
  <si>
    <t>GDP_Per_Capita_Growth</t>
  </si>
  <si>
    <t>Agriculture</t>
  </si>
  <si>
    <t>Industry</t>
  </si>
  <si>
    <t>Services</t>
  </si>
  <si>
    <t>Consumption_Contribution</t>
  </si>
  <si>
    <t>Policy_Interest_Rate</t>
  </si>
  <si>
    <t>Market_Interest_Rate</t>
  </si>
  <si>
    <t>Money_Supply</t>
  </si>
  <si>
    <t>Credit_Growth</t>
  </si>
  <si>
    <t>Headline_Inflation</t>
  </si>
  <si>
    <t>Core_Inflation</t>
  </si>
  <si>
    <t>Food_Inflation</t>
  </si>
  <si>
    <t>Non_Food_Inflation</t>
  </si>
  <si>
    <t>PPI</t>
  </si>
  <si>
    <t>Unemployment_Rate</t>
  </si>
  <si>
    <t>Labour_Force_Part_Rate</t>
  </si>
  <si>
    <t>Female_LFPR</t>
  </si>
  <si>
    <t>Male_Wage_Growth</t>
  </si>
  <si>
    <t>Female_Wage_Growth</t>
  </si>
  <si>
    <t>Exports</t>
  </si>
  <si>
    <t>Imports</t>
  </si>
  <si>
    <t>Exchange_Rate_Movement</t>
  </si>
  <si>
    <t>FDI</t>
  </si>
  <si>
    <t>Gov_Expenditure</t>
  </si>
  <si>
    <t>Budget_Deficit</t>
  </si>
  <si>
    <t>Public_Debt</t>
  </si>
  <si>
    <t>Revenue_Taxation</t>
  </si>
  <si>
    <t>Sum of Real_GDP_Growth</t>
  </si>
  <si>
    <t>Sum of GDP_Per_Capita_Growth</t>
  </si>
  <si>
    <t>Sum of Agriculture</t>
  </si>
  <si>
    <t>Sum of Industry</t>
  </si>
  <si>
    <t>Sum of Services</t>
  </si>
  <si>
    <t>Cursor I</t>
  </si>
  <si>
    <t>Cursor E</t>
  </si>
  <si>
    <t>Lable</t>
  </si>
  <si>
    <t>indent C</t>
  </si>
  <si>
    <t>Sum of Male_Wage_Growth</t>
  </si>
  <si>
    <t>Sum of Female_Wage_Growth</t>
  </si>
  <si>
    <t>Ratio</t>
  </si>
  <si>
    <t>Ratio Growth</t>
  </si>
  <si>
    <t>Sum of Exports</t>
  </si>
  <si>
    <t>Sum of Imports</t>
  </si>
  <si>
    <t>Ratio index</t>
  </si>
  <si>
    <t>Sum of Consumption_Contribution</t>
  </si>
  <si>
    <t>Sector</t>
  </si>
  <si>
    <t>Value</t>
  </si>
  <si>
    <t xml:space="preserve">Indicator </t>
  </si>
  <si>
    <t>Sector Total</t>
  </si>
  <si>
    <t>Consumption
Contribution</t>
  </si>
  <si>
    <t>Policy Interest Rate</t>
  </si>
  <si>
    <t>Market Interest Rate</t>
  </si>
  <si>
    <t>Policy Rate</t>
  </si>
  <si>
    <t>Money Supply</t>
  </si>
  <si>
    <t>Credit Growth</t>
  </si>
  <si>
    <t>Headline Inflation</t>
  </si>
  <si>
    <t>Core Inflation</t>
  </si>
  <si>
    <t>Food Inflation</t>
  </si>
  <si>
    <t>Non-Food Inflation</t>
  </si>
  <si>
    <t>Headline</t>
  </si>
  <si>
    <t>Core</t>
  </si>
  <si>
    <t>Food</t>
  </si>
  <si>
    <t>Non-Food</t>
  </si>
  <si>
    <t>Wage Gap</t>
  </si>
  <si>
    <t>Trade 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</si>
</sst>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Aptos Narrow"/>
      <family val="2"/>
      <scheme val="minor"/>
    </font>
    <font>
      <sz val="1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u/>
      <sz val="26"/>
      <color theme="3" tint="0.749992370372631"/>
      <name val="Aptos Narrow"/>
      <family val="2"/>
      <scheme val="minor"/>
    </font>
    <font>
      <sz val="26"/>
      <color theme="3" tint="0.749992370372631"/>
      <name val="Aptos Narrow"/>
      <family val="2"/>
      <scheme val="minor"/>
    </font>
    <font>
      <b/>
      <sz val="11"/>
      <color theme="0"/>
      <name val="Aptos Narrow"/>
      <family val="2"/>
      <scheme val="minor"/>
    </font>
  </fonts>
  <fills count="58">
    <fill>
      <patternFill patternType="none"/>
    </fill>
    <fill>
      <patternFill patternType="gray125"/>
    </fill>
    <fill>
      <patternFill patternType="solid">
        <fgColor rgb="FF12143D"/>
        <bgColor indexed="64"/>
      </patternFill>
    </fill>
    <fill>
      <patternFill patternType="solid">
        <fgColor rgb="FF1F2357"/>
        <bgColor indexed="64"/>
      </patternFill>
    </fill>
    <fill>
      <patternFill patternType="solid">
        <fgColor rgb="FF10123B"/>
        <bgColor indexed="64"/>
      </patternFill>
    </fill>
    <fill>
      <patternFill patternType="solid">
        <fgColor rgb="FF4647A6"/>
        <bgColor indexed="64"/>
      </patternFill>
    </fill>
    <fill>
      <patternFill patternType="solid">
        <fgColor rgb="FF333787"/>
        <bgColor indexed="64"/>
      </patternFill>
    </fill>
    <fill>
      <patternFill patternType="solid">
        <fgColor rgb="FF20245A"/>
        <bgColor indexed="64"/>
      </patternFill>
    </fill>
    <fill>
      <patternFill patternType="solid">
        <fgColor rgb="FFB9C1FF"/>
        <bgColor indexed="64"/>
      </patternFill>
    </fill>
    <fill>
      <patternFill patternType="solid">
        <fgColor rgb="FF3D4098"/>
        <bgColor indexed="64"/>
      </patternFill>
    </fill>
    <fill>
      <patternFill patternType="solid">
        <fgColor rgb="FF323687"/>
        <bgColor indexed="64"/>
      </patternFill>
    </fill>
    <fill>
      <patternFill patternType="solid">
        <fgColor rgb="FF10123A"/>
        <bgColor indexed="64"/>
      </patternFill>
    </fill>
    <fill>
      <patternFill patternType="solid">
        <fgColor rgb="FFA2D8F0"/>
        <bgColor indexed="64"/>
      </patternFill>
    </fill>
    <fill>
      <patternFill patternType="solid">
        <fgColor rgb="FF5D63D1"/>
        <bgColor indexed="64"/>
      </patternFill>
    </fill>
    <fill>
      <patternFill patternType="solid">
        <fgColor rgb="FF2E327A"/>
        <bgColor indexed="64"/>
      </patternFill>
    </fill>
    <fill>
      <patternFill patternType="solid">
        <fgColor rgb="FFCEC5FF"/>
        <bgColor indexed="64"/>
      </patternFill>
    </fill>
    <fill>
      <patternFill patternType="solid">
        <fgColor rgb="FF6372A4"/>
        <bgColor indexed="64"/>
      </patternFill>
    </fill>
    <fill>
      <patternFill patternType="solid">
        <fgColor rgb="FF0575F1"/>
        <bgColor indexed="64"/>
      </patternFill>
    </fill>
    <fill>
      <patternFill patternType="solid">
        <fgColor rgb="FF2C3076"/>
        <bgColor indexed="64"/>
      </patternFill>
    </fill>
    <fill>
      <patternFill patternType="solid">
        <fgColor rgb="FF22255C"/>
        <bgColor indexed="64"/>
      </patternFill>
    </fill>
    <fill>
      <patternFill patternType="solid">
        <fgColor rgb="FF2069F0"/>
        <bgColor indexed="64"/>
      </patternFill>
    </fill>
    <fill>
      <patternFill patternType="solid">
        <fgColor rgb="FF9933FF"/>
        <bgColor indexed="64"/>
      </patternFill>
    </fill>
    <fill>
      <patternFill patternType="solid">
        <fgColor rgb="FF22248D"/>
        <bgColor indexed="64"/>
      </patternFill>
    </fill>
    <fill>
      <patternFill patternType="solid">
        <fgColor rgb="FF060839"/>
        <bgColor indexed="64"/>
      </patternFill>
    </fill>
    <fill>
      <patternFill patternType="solid">
        <fgColor rgb="FF7079FF"/>
        <bgColor indexed="64"/>
      </patternFill>
    </fill>
    <fill>
      <patternFill patternType="solid">
        <fgColor rgb="FF1C1D86"/>
        <bgColor indexed="64"/>
      </patternFill>
    </fill>
    <fill>
      <patternFill patternType="solid">
        <fgColor rgb="FF374AEC"/>
        <bgColor indexed="64"/>
      </patternFill>
    </fill>
    <fill>
      <patternFill patternType="solid">
        <fgColor rgb="FF1B2399"/>
        <bgColor indexed="64"/>
      </patternFill>
    </fill>
    <fill>
      <patternFill patternType="solid">
        <fgColor rgb="FF7C93FD"/>
        <bgColor indexed="64"/>
      </patternFill>
    </fill>
    <fill>
      <patternFill patternType="solid">
        <fgColor rgb="FF4641D1"/>
        <bgColor indexed="64"/>
      </patternFill>
    </fill>
    <fill>
      <patternFill patternType="solid">
        <fgColor rgb="FF0093CE"/>
        <bgColor indexed="64"/>
      </patternFill>
    </fill>
    <fill>
      <patternFill patternType="solid">
        <fgColor rgb="FFFF00FF"/>
        <bgColor indexed="64"/>
      </patternFill>
    </fill>
    <fill>
      <patternFill patternType="solid">
        <fgColor rgb="FF808AEC"/>
        <bgColor indexed="64"/>
      </patternFill>
    </fill>
    <fill>
      <patternFill patternType="solid">
        <fgColor rgb="FF4A59E4"/>
        <bgColor indexed="64"/>
      </patternFill>
    </fill>
    <fill>
      <patternFill patternType="solid">
        <fgColor rgb="FF0070B1"/>
        <bgColor indexed="64"/>
      </patternFill>
    </fill>
    <fill>
      <patternFill patternType="solid">
        <fgColor rgb="FF00B7D2"/>
        <bgColor indexed="64"/>
      </patternFill>
    </fill>
    <fill>
      <patternFill patternType="solid">
        <fgColor rgb="FF3647E3"/>
        <bgColor indexed="64"/>
      </patternFill>
    </fill>
    <fill>
      <patternFill patternType="solid">
        <fgColor rgb="FF8D76FC"/>
        <bgColor indexed="64"/>
      </patternFill>
    </fill>
    <fill>
      <patternFill patternType="solid">
        <fgColor rgb="FF3A5CE2"/>
        <bgColor indexed="64"/>
      </patternFill>
    </fill>
    <fill>
      <patternFill patternType="solid">
        <fgColor rgb="FF476BEE"/>
        <bgColor indexed="64"/>
      </patternFill>
    </fill>
    <fill>
      <patternFill patternType="solid">
        <fgColor rgb="FF8701DA"/>
        <bgColor indexed="64"/>
      </patternFill>
    </fill>
    <fill>
      <patternFill patternType="solid">
        <fgColor rgb="FFAD27FE"/>
        <bgColor indexed="64"/>
      </patternFill>
    </fill>
    <fill>
      <patternFill patternType="solid">
        <fgColor rgb="FF34349E"/>
        <bgColor indexed="64"/>
      </patternFill>
    </fill>
    <fill>
      <patternFill patternType="solid">
        <fgColor rgb="FF212469"/>
        <bgColor indexed="64"/>
      </patternFill>
    </fill>
    <fill>
      <patternFill patternType="solid">
        <fgColor rgb="FF8199F3"/>
        <bgColor indexed="64"/>
      </patternFill>
    </fill>
    <fill>
      <patternFill patternType="solid">
        <fgColor rgb="FFCAD4FA"/>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8" tint="0.39997558519241921"/>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6" tint="0.39997558519241921"/>
        <bgColor indexed="64"/>
      </patternFill>
    </fill>
    <fill>
      <patternFill patternType="solid">
        <fgColor theme="3"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3"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style="thin">
        <color indexed="64"/>
      </left>
      <right style="thin">
        <color indexed="64"/>
      </right>
      <top/>
      <bottom style="thin">
        <color indexed="64"/>
      </bottom>
      <diagonal/>
    </border>
    <border>
      <left/>
      <right/>
      <top/>
      <bottom style="thin">
        <color theme="4" tint="0.39997558519241921"/>
      </bottom>
      <diagonal/>
    </border>
    <border>
      <left style="thin">
        <color indexed="64"/>
      </left>
      <right style="thin">
        <color indexed="64"/>
      </right>
      <top/>
      <bottom/>
      <diagonal/>
    </border>
  </borders>
  <cellStyleXfs count="3">
    <xf numFmtId="0" fontId="0" fillId="0" borderId="0"/>
    <xf numFmtId="9" fontId="2" fillId="0" borderId="0" applyFont="0" applyFill="0" applyBorder="0" applyAlignment="0" applyProtection="0"/>
    <xf numFmtId="0" fontId="5" fillId="0" borderId="0" applyNumberFormat="0" applyFill="0" applyBorder="0" applyAlignment="0" applyProtection="0"/>
  </cellStyleXfs>
  <cellXfs count="88">
    <xf numFmtId="0" fontId="0" fillId="0" borderId="0" xfId="0"/>
    <xf numFmtId="0" fontId="1" fillId="0" borderId="0" xfId="0" applyFont="1" applyAlignment="1">
      <alignment horizontal="center"/>
    </xf>
    <xf numFmtId="0" fontId="0" fillId="0" borderId="0" xfId="0" applyAlignment="1">
      <alignment horizontal="center"/>
    </xf>
    <xf numFmtId="0" fontId="0" fillId="0" borderId="0" xfId="0" applyAlignment="1">
      <alignment horizontal="left"/>
    </xf>
    <xf numFmtId="0" fontId="0" fillId="2" borderId="0" xfId="0" applyFill="1"/>
    <xf numFmtId="0" fontId="3" fillId="0" borderId="0" xfId="0" applyFont="1" applyAlignment="1">
      <alignment horizontal="center"/>
    </xf>
    <xf numFmtId="9" fontId="0" fillId="0" borderId="0" xfId="1" applyFont="1" applyAlignment="1">
      <alignment horizontal="center"/>
    </xf>
    <xf numFmtId="0" fontId="0" fillId="0" borderId="1" xfId="0" applyBorder="1" applyAlignment="1">
      <alignment horizontal="center"/>
    </xf>
    <xf numFmtId="9" fontId="0" fillId="0" borderId="0" xfId="0" applyNumberFormat="1"/>
    <xf numFmtId="0" fontId="3" fillId="0" borderId="0" xfId="0" applyFont="1"/>
    <xf numFmtId="0" fontId="0" fillId="0" borderId="0" xfId="0" pivotButton="1"/>
    <xf numFmtId="0" fontId="4" fillId="2" borderId="0" xfId="0" applyFont="1" applyFill="1"/>
    <xf numFmtId="0" fontId="0" fillId="8" borderId="0" xfId="0" applyFill="1"/>
    <xf numFmtId="0" fontId="0" fillId="12" borderId="0" xfId="0" applyFill="1"/>
    <xf numFmtId="0" fontId="0" fillId="15" borderId="0" xfId="0" applyFill="1"/>
    <xf numFmtId="0" fontId="4" fillId="3" borderId="0" xfId="0" applyFont="1" applyFill="1"/>
    <xf numFmtId="0" fontId="4" fillId="4" borderId="0" xfId="0" applyFont="1" applyFill="1"/>
    <xf numFmtId="0" fontId="4" fillId="5" borderId="0" xfId="0" applyFont="1" applyFill="1"/>
    <xf numFmtId="0" fontId="4" fillId="6" borderId="0" xfId="0" applyFont="1" applyFill="1"/>
    <xf numFmtId="0" fontId="4" fillId="7" borderId="0" xfId="0" applyFont="1" applyFill="1"/>
    <xf numFmtId="0" fontId="4" fillId="9" borderId="0" xfId="0" applyFont="1" applyFill="1"/>
    <xf numFmtId="0" fontId="4" fillId="10" borderId="0" xfId="0" applyFont="1" applyFill="1"/>
    <xf numFmtId="0" fontId="4" fillId="11" borderId="0" xfId="0" applyFont="1" applyFill="1"/>
    <xf numFmtId="0" fontId="4" fillId="13" borderId="0" xfId="0" applyFont="1" applyFill="1"/>
    <xf numFmtId="0" fontId="4" fillId="14" borderId="0" xfId="0" applyFont="1" applyFill="1"/>
    <xf numFmtId="0" fontId="4" fillId="16" borderId="0" xfId="0" applyFont="1" applyFill="1"/>
    <xf numFmtId="0" fontId="4" fillId="17" borderId="0" xfId="0" applyFont="1" applyFill="1"/>
    <xf numFmtId="0" fontId="4" fillId="18" borderId="0" xfId="0" applyFont="1" applyFill="1"/>
    <xf numFmtId="0" fontId="4" fillId="19" borderId="0" xfId="0" applyFont="1" applyFill="1"/>
    <xf numFmtId="0" fontId="4" fillId="12" borderId="0" xfId="0" applyFont="1" applyFill="1"/>
    <xf numFmtId="0" fontId="4" fillId="20" borderId="0" xfId="0" applyFont="1" applyFill="1"/>
    <xf numFmtId="0" fontId="4" fillId="21" borderId="0" xfId="0" applyFont="1" applyFill="1"/>
    <xf numFmtId="0" fontId="4" fillId="22" borderId="0" xfId="0" applyFont="1" applyFill="1"/>
    <xf numFmtId="0" fontId="4" fillId="23" borderId="0" xfId="0" applyFont="1" applyFill="1"/>
    <xf numFmtId="0" fontId="4" fillId="24" borderId="0" xfId="0" applyFont="1" applyFill="1"/>
    <xf numFmtId="0" fontId="4" fillId="25" borderId="0" xfId="0" applyFont="1" applyFill="1"/>
    <xf numFmtId="0" fontId="4" fillId="26" borderId="0" xfId="0" applyFont="1" applyFill="1"/>
    <xf numFmtId="0" fontId="4" fillId="27" borderId="0" xfId="0" applyFont="1" applyFill="1"/>
    <xf numFmtId="0" fontId="4" fillId="28" borderId="0" xfId="0" applyFont="1" applyFill="1"/>
    <xf numFmtId="0" fontId="4" fillId="29" borderId="0" xfId="0" applyFont="1" applyFill="1"/>
    <xf numFmtId="0" fontId="4" fillId="30" borderId="0" xfId="0" applyFont="1" applyFill="1"/>
    <xf numFmtId="0" fontId="0" fillId="31" borderId="0" xfId="0" applyFill="1"/>
    <xf numFmtId="0" fontId="4" fillId="32" borderId="0" xfId="0" applyFont="1" applyFill="1"/>
    <xf numFmtId="0" fontId="4" fillId="33" borderId="0" xfId="0" applyFont="1" applyFill="1"/>
    <xf numFmtId="0" fontId="4" fillId="31" borderId="0" xfId="0" applyFont="1" applyFill="1"/>
    <xf numFmtId="0" fontId="4" fillId="34" borderId="0" xfId="0" applyFont="1" applyFill="1"/>
    <xf numFmtId="0" fontId="4" fillId="35" borderId="0" xfId="0" applyFont="1" applyFill="1"/>
    <xf numFmtId="0" fontId="4" fillId="36" borderId="0" xfId="0" applyFont="1" applyFill="1"/>
    <xf numFmtId="0" fontId="4" fillId="37" borderId="0" xfId="0" applyFont="1" applyFill="1"/>
    <xf numFmtId="0" fontId="4" fillId="38" borderId="0" xfId="0" applyFont="1" applyFill="1"/>
    <xf numFmtId="0" fontId="4" fillId="39" borderId="0" xfId="0" applyFont="1" applyFill="1"/>
    <xf numFmtId="0" fontId="4" fillId="40" borderId="0" xfId="0" applyFont="1" applyFill="1"/>
    <xf numFmtId="0" fontId="4" fillId="41" borderId="0" xfId="0" applyFont="1" applyFill="1"/>
    <xf numFmtId="0" fontId="4" fillId="42" borderId="0" xfId="0" applyFont="1" applyFill="1"/>
    <xf numFmtId="0" fontId="4" fillId="43" borderId="0" xfId="0" applyFont="1" applyFill="1"/>
    <xf numFmtId="0" fontId="0" fillId="39" borderId="0" xfId="0" applyFill="1"/>
    <xf numFmtId="0" fontId="0" fillId="38" borderId="0" xfId="0" applyFill="1"/>
    <xf numFmtId="0" fontId="0" fillId="44" borderId="0" xfId="0" applyFill="1"/>
    <xf numFmtId="0" fontId="0" fillId="45" borderId="0" xfId="0" applyFill="1"/>
    <xf numFmtId="0" fontId="0" fillId="53" borderId="0" xfId="0" applyFill="1"/>
    <xf numFmtId="0" fontId="0" fillId="54" borderId="0" xfId="0" applyFill="1"/>
    <xf numFmtId="0" fontId="0" fillId="55" borderId="0" xfId="0" applyFill="1"/>
    <xf numFmtId="0" fontId="0" fillId="56" borderId="0" xfId="0" applyFill="1"/>
    <xf numFmtId="0" fontId="0" fillId="57" borderId="0" xfId="0" applyFill="1"/>
    <xf numFmtId="0" fontId="3" fillId="48" borderId="3" xfId="0" applyFont="1" applyFill="1" applyBorder="1" applyAlignment="1">
      <alignment horizontal="center" vertical="top"/>
    </xf>
    <xf numFmtId="0" fontId="3" fillId="49" borderId="3" xfId="0" applyFont="1" applyFill="1" applyBorder="1" applyAlignment="1">
      <alignment horizontal="center" vertical="top"/>
    </xf>
    <xf numFmtId="0" fontId="3" fillId="50" borderId="3" xfId="0" applyFont="1" applyFill="1" applyBorder="1" applyAlignment="1">
      <alignment horizontal="center" vertical="top"/>
    </xf>
    <xf numFmtId="0" fontId="3" fillId="51" borderId="3" xfId="0" applyFont="1" applyFill="1" applyBorder="1" applyAlignment="1">
      <alignment horizontal="center" vertical="top"/>
    </xf>
    <xf numFmtId="0" fontId="3" fillId="52" borderId="3" xfId="0" applyFont="1" applyFill="1" applyBorder="1" applyAlignment="1">
      <alignment horizontal="center" vertical="top"/>
    </xf>
    <xf numFmtId="0" fontId="3" fillId="47" borderId="4" xfId="0" applyFont="1" applyFill="1" applyBorder="1"/>
    <xf numFmtId="0" fontId="8" fillId="48" borderId="1" xfId="0" applyFont="1" applyFill="1" applyBorder="1" applyAlignment="1">
      <alignment horizontal="center" vertical="top"/>
    </xf>
    <xf numFmtId="1" fontId="3" fillId="0" borderId="3" xfId="0" applyNumberFormat="1" applyFont="1" applyBorder="1" applyAlignment="1">
      <alignment horizontal="center" vertical="top"/>
    </xf>
    <xf numFmtId="1" fontId="0" fillId="0" borderId="0" xfId="0" applyNumberFormat="1"/>
    <xf numFmtId="1" fontId="8" fillId="46" borderId="1" xfId="0" applyNumberFormat="1" applyFont="1" applyFill="1" applyBorder="1" applyAlignment="1">
      <alignment horizontal="center" vertical="top"/>
    </xf>
    <xf numFmtId="1" fontId="0" fillId="47" borderId="2" xfId="0" applyNumberFormat="1" applyFill="1" applyBorder="1"/>
    <xf numFmtId="1" fontId="0" fillId="0" borderId="2" xfId="0" applyNumberFormat="1" applyBorder="1"/>
    <xf numFmtId="9" fontId="3" fillId="0" borderId="0" xfId="1" applyFont="1" applyAlignment="1">
      <alignment horizontal="center"/>
    </xf>
    <xf numFmtId="9" fontId="0" fillId="0" borderId="0" xfId="1" applyFont="1"/>
    <xf numFmtId="0" fontId="3" fillId="47" borderId="0" xfId="0" applyFont="1" applyFill="1"/>
    <xf numFmtId="0" fontId="0" fillId="0" borderId="0" xfId="0" applyAlignment="1">
      <alignment wrapText="1"/>
    </xf>
    <xf numFmtId="0" fontId="6" fillId="2" borderId="0" xfId="2" applyFont="1" applyFill="1"/>
    <xf numFmtId="0" fontId="7" fillId="2" borderId="0" xfId="0" applyFont="1" applyFill="1"/>
    <xf numFmtId="0" fontId="0" fillId="0" borderId="0" xfId="0" applyNumberFormat="1"/>
    <xf numFmtId="0" fontId="8" fillId="51" borderId="1" xfId="0" applyFont="1" applyFill="1" applyBorder="1" applyAlignment="1">
      <alignment horizontal="center" vertical="top"/>
    </xf>
    <xf numFmtId="0" fontId="8" fillId="51" borderId="5" xfId="0" applyFont="1" applyFill="1" applyBorder="1" applyAlignment="1">
      <alignment horizontal="center" vertical="top"/>
    </xf>
    <xf numFmtId="0" fontId="8" fillId="49" borderId="1" xfId="0" applyFont="1" applyFill="1" applyBorder="1" applyAlignment="1">
      <alignment horizontal="center" vertical="top"/>
    </xf>
    <xf numFmtId="0" fontId="8" fillId="49" borderId="5" xfId="0" applyFont="1" applyFill="1" applyBorder="1" applyAlignment="1">
      <alignment horizontal="center" vertical="top"/>
    </xf>
    <xf numFmtId="0" fontId="8" fillId="52" borderId="1" xfId="0" applyFont="1" applyFill="1" applyBorder="1" applyAlignment="1">
      <alignment horizontal="center" vertical="top"/>
    </xf>
  </cellXfs>
  <cellStyles count="3">
    <cellStyle name="Hyperlink" xfId="2" builtinId="8"/>
    <cellStyle name="Normal" xfId="0" builtinId="0"/>
    <cellStyle name="Percent" xfId="1" builtinId="5"/>
  </cellStyles>
  <dxfs count="75">
    <dxf>
      <numFmt numFmtId="0" formatCode="General"/>
    </dxf>
    <dxf>
      <numFmt numFmtId="0" formatCode="General"/>
    </dxf>
    <dxf>
      <numFmt numFmtId="0" formatCode="General"/>
    </dxf>
    <dxf>
      <numFmt numFmtId="0" formatCode="General"/>
    </dxf>
    <dxf>
      <numFmt numFmtId="1" formatCode="0"/>
    </dxf>
    <dxf>
      <font>
        <b/>
        <i val="0"/>
        <strike val="0"/>
        <condense val="0"/>
        <extend val="0"/>
        <outline val="0"/>
        <shadow val="0"/>
        <u val="none"/>
        <vertAlign val="baseline"/>
        <sz val="11"/>
        <color theme="0"/>
        <name val="Aptos Narrow"/>
        <family val="2"/>
        <scheme val="minor"/>
      </font>
      <fill>
        <patternFill patternType="solid">
          <fgColor indexed="64"/>
          <bgColor theme="3" tint="0.59999389629810485"/>
        </patternFill>
      </fill>
      <alignment horizontal="center" vertical="top"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1" formatCode="0"/>
    </dxf>
    <dxf>
      <font>
        <b/>
        <i val="0"/>
        <strike val="0"/>
        <condense val="0"/>
        <extend val="0"/>
        <outline val="0"/>
        <shadow val="0"/>
        <u val="none"/>
        <vertAlign val="baseline"/>
        <sz val="11"/>
        <color theme="0"/>
        <name val="Aptos Narrow"/>
        <family val="2"/>
        <scheme val="minor"/>
      </font>
      <fill>
        <patternFill patternType="solid">
          <fgColor indexed="64"/>
          <bgColor theme="9" tint="0.39997558519241921"/>
        </patternFill>
      </fill>
      <alignment horizontal="center" vertical="top"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font>
        <b/>
        <i val="0"/>
        <strike val="0"/>
        <condense val="0"/>
        <extend val="0"/>
        <outline val="0"/>
        <shadow val="0"/>
        <u val="none"/>
        <vertAlign val="baseline"/>
        <sz val="11"/>
        <color theme="0"/>
        <name val="Aptos Narrow"/>
        <family val="2"/>
        <scheme val="minor"/>
      </font>
      <fill>
        <patternFill patternType="solid">
          <fgColor indexed="64"/>
          <bgColor theme="6" tint="0.39997558519241921"/>
        </patternFill>
      </fill>
      <alignment horizontal="center" vertical="top" textRotation="0" wrapText="0" indent="0" justifyLastLine="0" shrinkToFit="0" readingOrder="0"/>
      <border diagonalUp="0" diagonalDown="0" outline="0">
        <left style="thin">
          <color indexed="64"/>
        </left>
        <right style="thin">
          <color indexed="64"/>
        </right>
        <top/>
        <bottom/>
      </border>
    </dxf>
    <dxf>
      <numFmt numFmtId="0" formatCode="General"/>
    </dxf>
    <dxf>
      <fill>
        <patternFill patternType="solid">
          <fgColor indexed="64"/>
          <bgColor theme="3" tint="0.79998168889431442"/>
        </patternFill>
      </fill>
    </dxf>
    <dxf>
      <fill>
        <patternFill patternType="solid">
          <fgColor indexed="64"/>
          <bgColor theme="3" tint="0.79998168889431442"/>
        </patternFill>
      </fill>
    </dxf>
    <dxf>
      <fill>
        <patternFill patternType="solid">
          <fgColor indexed="64"/>
          <bgColor theme="3" tint="0.79998168889431442"/>
        </patternFill>
      </fill>
    </dxf>
    <dxf>
      <fill>
        <patternFill patternType="solid">
          <fgColor indexed="64"/>
          <bgColor theme="3"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dxf>
    <dxf>
      <numFmt numFmtId="1" formatCode="0"/>
    </dxf>
    <dxf>
      <border outline="0">
        <top style="thin">
          <color indexed="64"/>
        </top>
      </border>
    </dxf>
    <dxf>
      <fill>
        <patternFill patternType="solid">
          <fgColor indexed="64"/>
          <bgColor theme="3" tint="0.79998168889431442"/>
        </patternFill>
      </fill>
    </dxf>
    <dxf>
      <border outline="0">
        <bottom style="thin">
          <color indexed="64"/>
        </bottom>
      </border>
    </dxf>
    <dxf>
      <font>
        <b/>
        <i val="0"/>
        <strike val="0"/>
        <condense val="0"/>
        <extend val="0"/>
        <outline val="0"/>
        <shadow val="0"/>
        <u val="none"/>
        <vertAlign val="baseline"/>
        <sz val="11"/>
        <color theme="1"/>
        <name val="Aptos Narrow"/>
        <family val="2"/>
        <scheme val="minor"/>
      </font>
      <fill>
        <patternFill patternType="solid">
          <fgColor indexed="64"/>
          <bgColor theme="3" tint="0.59999389629810485"/>
        </patternFill>
      </fill>
      <alignment horizontal="center" vertical="top"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 formatCode="0"/>
    </dxf>
    <dxf>
      <numFmt numFmtId="0" formatCode="General"/>
    </dxf>
    <dxf>
      <numFmt numFmtId="0" formatCode="General"/>
    </dxf>
    <dxf>
      <numFmt numFmtId="1" formatCode="0"/>
    </dxf>
    <dxf>
      <font>
        <b/>
        <color theme="1"/>
      </font>
      <border>
        <bottom style="thin">
          <color theme="4"/>
        </bottom>
        <vertical/>
        <horizontal/>
      </border>
    </dxf>
    <dxf>
      <font>
        <color theme="1"/>
      </font>
      <fill>
        <patternFill>
          <bgColor theme="0"/>
        </patternFill>
      </fill>
      <border diagonalDown="1">
        <left/>
        <right/>
        <top/>
        <bottom/>
        <diagonal style="hair">
          <color theme="4"/>
        </diagonal>
        <vertical/>
        <horizontal/>
      </border>
    </dxf>
    <dxf>
      <font>
        <b/>
        <color theme="1"/>
      </font>
      <border>
        <bottom style="thin">
          <color theme="4"/>
        </bottom>
        <vertical/>
        <horizontal/>
      </border>
    </dxf>
    <dxf>
      <font>
        <color theme="1"/>
      </font>
      <fill>
        <patternFill>
          <bgColor theme="0"/>
        </patternFill>
      </fill>
      <border diagonalUp="0" diagonalDown="0">
        <left/>
        <right/>
        <top/>
        <bottom/>
        <vertical/>
        <horizontal/>
      </border>
    </dxf>
    <dxf>
      <font>
        <b/>
        <color theme="1"/>
      </font>
      <border>
        <bottom style="thin">
          <color theme="4"/>
        </bottom>
        <vertical/>
        <horizontal/>
      </border>
    </dxf>
    <dxf>
      <font>
        <color theme="1"/>
      </font>
      <fill>
        <patternFill>
          <bgColor rgb="FF242732"/>
        </patternFill>
      </fill>
      <border diagonalDown="1">
        <left/>
        <right/>
        <top/>
        <bottom/>
        <diagonal style="hair">
          <color theme="4"/>
        </diagonal>
        <vertical/>
        <horizontal/>
      </border>
    </dxf>
    <dxf>
      <font>
        <b/>
        <color theme="1"/>
      </font>
      <border>
        <bottom style="thin">
          <color theme="4"/>
        </bottom>
        <vertical/>
        <horizontal/>
      </border>
    </dxf>
    <dxf>
      <font>
        <color theme="1"/>
      </font>
      <fill>
        <patternFill>
          <bgColor rgb="FF242732"/>
        </patternFill>
      </fill>
      <border diagonalDown="1">
        <left/>
        <right/>
        <top/>
        <bottom/>
        <diagonal style="hair">
          <color theme="4"/>
        </diagonal>
        <vertical/>
        <horizontal/>
      </border>
    </dxf>
    <dxf>
      <font>
        <b/>
        <color theme="1"/>
      </font>
      <border>
        <bottom style="thin">
          <color theme="4"/>
        </bottom>
        <vertical/>
        <horizontal/>
      </border>
    </dxf>
    <dxf>
      <font>
        <color theme="1"/>
      </font>
      <fill>
        <patternFill>
          <bgColor rgb="FF101239"/>
        </patternFill>
      </fill>
      <border diagonalUp="0" diagonalDown="0">
        <left/>
        <right/>
        <top/>
        <bottom/>
        <vertical/>
        <horizontal/>
      </border>
    </dxf>
    <dxf>
      <font>
        <b/>
        <color theme="1"/>
      </font>
      <border>
        <bottom style="thin">
          <color theme="4"/>
        </bottom>
        <vertical/>
        <horizontal/>
      </border>
    </dxf>
    <dxf>
      <font>
        <color theme="1"/>
      </font>
      <fill>
        <patternFill>
          <bgColor rgb="FF2C3076"/>
        </patternFill>
      </fill>
      <border diagonalUp="0" diagonalDown="0">
        <left/>
        <right/>
        <top/>
        <bottom/>
        <vertical/>
        <horizontal/>
      </border>
    </dxf>
  </dxfs>
  <tableStyles count="6" defaultTableStyle="TableStyleMedium2" defaultPivotStyle="PivotStyleLight16">
    <tableStyle name="SlicerStyleLight1 2 2 4" pivot="0" table="0" count="10" xr9:uid="{EBDDDE3A-4A7B-48AB-980F-A18DA5B4F9EC}">
      <tableStyleElement type="wholeTable" dxfId="74"/>
      <tableStyleElement type="headerRow" dxfId="73"/>
    </tableStyle>
    <tableStyle name="SlicerStyleLight1 2 2 4 2" pivot="0" table="0" count="10" xr9:uid="{42A3D11D-0D59-4C3B-95D7-C2B2B5ED753B}">
      <tableStyleElement type="wholeTable" dxfId="72"/>
      <tableStyleElement type="headerRow" dxfId="71"/>
    </tableStyle>
    <tableStyle name="SlicerStyleLight1 2" pivot="0" table="0" count="2" xr9:uid="{A62FF23B-5539-4FCC-81D7-8453E016965E}">
      <tableStyleElement type="wholeTable" dxfId="70"/>
      <tableStyleElement type="headerRow" dxfId="69"/>
    </tableStyle>
    <tableStyle name="SlicerStyleLight1 2 2" pivot="0" table="0" count="2" xr9:uid="{C1D7F0E5-F811-47CB-A500-0442915FA070}">
      <tableStyleElement type="wholeTable" dxfId="68"/>
      <tableStyleElement type="headerRow" dxfId="67"/>
    </tableStyle>
    <tableStyle name="SlicerStyleLight1 2 2 4 3" pivot="0" table="0" count="10" xr9:uid="{39C81CD7-21AE-4632-9BF0-900B91C156A5}">
      <tableStyleElement type="wholeTable" dxfId="66"/>
      <tableStyleElement type="headerRow" dxfId="65"/>
    </tableStyle>
    <tableStyle name="SlicerStyleLight1 2 3" pivot="0" table="0" count="2" xr9:uid="{3A7B1C96-9126-4A5F-899B-2155ABDB75CA}">
      <tableStyleElement type="wholeTable" dxfId="64"/>
      <tableStyleElement type="headerRow" dxfId="63"/>
    </tableStyle>
  </tableStyles>
  <colors>
    <mruColors>
      <color rgb="FFFF00FF"/>
      <color rgb="FF0575F1"/>
      <color rgb="FF7C93FD"/>
      <color rgb="FF1B2399"/>
      <color rgb="FF4641D1"/>
      <color rgb="FFCEC5FF"/>
      <color rgb="FF0093CE"/>
      <color rgb="FF2C3076"/>
      <color rgb="FF6372A4"/>
      <color rgb="FF374AEC"/>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rgb="FF393D97"/>
          </font>
          <fill>
            <patternFill patternType="solid">
              <fgColor auto="1"/>
              <bgColor rgb="FFE6E1FF"/>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0"/>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theme="3" tint="0.749961851863155"/>
          </font>
          <fill>
            <patternFill patternType="solid">
              <fgColor auto="1"/>
              <bgColor rgb="FF16195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theme="3" tint="0.749961851863155"/>
          </font>
          <fill>
            <patternFill patternType="solid">
              <fgColor auto="1"/>
              <bgColor rgb="FF16195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2 4">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2 4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4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6.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7.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9.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20.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7.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523882481565927"/>
          <c:y val="0.20490141690565486"/>
          <c:w val="0.44007792272372043"/>
          <c:h val="0.73346314977596971"/>
        </c:manualLayout>
      </c:layout>
      <c:doughnutChart>
        <c:varyColors val="1"/>
        <c:ser>
          <c:idx val="0"/>
          <c:order val="0"/>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4A-DC0B-4EA0-A4CA-837361540C49}"/>
            </c:ext>
          </c:extLst>
        </c:ser>
        <c:ser>
          <c:idx val="1"/>
          <c:order val="1"/>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58-DC0B-4EA0-A4CA-837361540C49}"/>
            </c:ext>
          </c:extLst>
        </c:ser>
        <c:ser>
          <c:idx val="2"/>
          <c:order val="2"/>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66-DC0B-4EA0-A4CA-837361540C49}"/>
            </c:ext>
          </c:extLst>
        </c:ser>
        <c:ser>
          <c:idx val="3"/>
          <c:order val="3"/>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74-DC0B-4EA0-A4CA-837361540C49}"/>
            </c:ext>
          </c:extLst>
        </c:ser>
        <c:ser>
          <c:idx val="4"/>
          <c:order val="4"/>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82-DC0B-4EA0-A4CA-837361540C49}"/>
            </c:ext>
          </c:extLst>
        </c:ser>
        <c:dLbls>
          <c:showLegendKey val="0"/>
          <c:showVal val="0"/>
          <c:showCatName val="0"/>
          <c:showSerName val="0"/>
          <c:showPercent val="0"/>
          <c:showBubbleSize val="0"/>
          <c:showLeaderLines val="1"/>
        </c:dLbls>
        <c:firstSliceAng val="270"/>
        <c:holeSize val="29"/>
      </c:doughnutChart>
    </c:plotArea>
    <c:legend>
      <c:legendPos val="b"/>
      <c:layout>
        <c:manualLayout>
          <c:xMode val="edge"/>
          <c:yMode val="edge"/>
          <c:x val="0.17197138434470516"/>
          <c:y val="0.58196497320513063"/>
          <c:w val="0.66815581289747472"/>
          <c:h val="8.0197188957031471E-2"/>
        </c:manualLayout>
      </c:layout>
      <c:overlay val="0"/>
      <c:txPr>
        <a:bodyPr/>
        <a:lstStyle/>
        <a:p>
          <a:pPr rtl="0">
            <a:defRPr sz="800">
              <a:solidFill>
                <a:schemeClr val="tx2">
                  <a:lumMod val="25000"/>
                  <a:lumOff val="75000"/>
                </a:schemeClr>
              </a:solidFill>
            </a:defRPr>
          </a:pPr>
          <a:endParaRPr lang="ru-RU"/>
        </a:p>
      </c:txPr>
    </c:legend>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Processing!$C$1</c:f>
              <c:strCache>
                <c:ptCount val="1"/>
                <c:pt idx="0">
                  <c:v>indent</c:v>
                </c:pt>
              </c:strCache>
            </c:strRef>
          </c:tx>
          <c:spPr>
            <a:solidFill>
              <a:schemeClr val="accent1"/>
            </a:solidFill>
            <a:ln>
              <a:noFill/>
            </a:ln>
            <a:effectLst/>
          </c:spPr>
          <c:invertIfNegative val="0"/>
          <c:cat>
            <c:strRef>
              <c:f>Processing!$B$2:$B$27</c:f>
              <c:strCache>
                <c:ptCount val="26"/>
                <c:pt idx="0">
                  <c:v>99</c:v>
                </c:pt>
                <c:pt idx="1">
                  <c:v>00</c:v>
                </c:pt>
                <c:pt idx="2">
                  <c:v>01</c:v>
                </c:pt>
                <c:pt idx="3">
                  <c:v>02</c:v>
                </c:pt>
                <c:pt idx="4">
                  <c:v>03</c:v>
                </c:pt>
                <c:pt idx="5">
                  <c:v>04</c:v>
                </c:pt>
                <c:pt idx="6">
                  <c:v>05</c:v>
                </c:pt>
                <c:pt idx="7">
                  <c:v>06</c:v>
                </c:pt>
                <c:pt idx="8">
                  <c:v>07</c:v>
                </c:pt>
                <c:pt idx="9">
                  <c:v>08</c:v>
                </c:pt>
                <c:pt idx="10">
                  <c:v>09</c:v>
                </c:pt>
                <c:pt idx="11">
                  <c:v>10</c:v>
                </c:pt>
                <c:pt idx="12">
                  <c:v>11</c:v>
                </c:pt>
                <c:pt idx="13">
                  <c:v>12</c:v>
                </c:pt>
                <c:pt idx="14">
                  <c:v>13</c:v>
                </c:pt>
                <c:pt idx="15">
                  <c:v>14</c:v>
                </c:pt>
                <c:pt idx="16">
                  <c:v>15</c:v>
                </c:pt>
                <c:pt idx="17">
                  <c:v>16</c:v>
                </c:pt>
                <c:pt idx="18">
                  <c:v>17</c:v>
                </c:pt>
                <c:pt idx="19">
                  <c:v>18</c:v>
                </c:pt>
                <c:pt idx="20">
                  <c:v>19</c:v>
                </c:pt>
                <c:pt idx="21">
                  <c:v>20</c:v>
                </c:pt>
                <c:pt idx="22">
                  <c:v>21</c:v>
                </c:pt>
                <c:pt idx="23">
                  <c:v>22</c:v>
                </c:pt>
                <c:pt idx="24">
                  <c:v>23</c:v>
                </c:pt>
                <c:pt idx="25">
                  <c:v>24</c:v>
                </c:pt>
              </c:strCache>
            </c:strRef>
          </c:cat>
          <c:val>
            <c:numRef>
              <c:f>Processing!$C$2:$C$27</c:f>
              <c:numCache>
                <c:formatCode>General</c:formatCode>
                <c:ptCount val="26"/>
                <c:pt idx="0">
                  <c:v>0.52359999999999995</c:v>
                </c:pt>
                <c:pt idx="1">
                  <c:v>0.52359999999999995</c:v>
                </c:pt>
                <c:pt idx="2">
                  <c:v>0.52359999999999995</c:v>
                </c:pt>
                <c:pt idx="3">
                  <c:v>0.52359999999999995</c:v>
                </c:pt>
                <c:pt idx="4">
                  <c:v>0.52359999999999995</c:v>
                </c:pt>
                <c:pt idx="5">
                  <c:v>0.52359999999999995</c:v>
                </c:pt>
                <c:pt idx="6">
                  <c:v>0.52359999999999995</c:v>
                </c:pt>
                <c:pt idx="7">
                  <c:v>0.52359999999999995</c:v>
                </c:pt>
                <c:pt idx="8">
                  <c:v>0.52359999999999995</c:v>
                </c:pt>
                <c:pt idx="9">
                  <c:v>0.52359999999999995</c:v>
                </c:pt>
                <c:pt idx="10">
                  <c:v>0.52359999999999995</c:v>
                </c:pt>
                <c:pt idx="11">
                  <c:v>0.52359999999999995</c:v>
                </c:pt>
                <c:pt idx="12">
                  <c:v>0.52359999999999995</c:v>
                </c:pt>
                <c:pt idx="13">
                  <c:v>0.52359999999999995</c:v>
                </c:pt>
                <c:pt idx="14">
                  <c:v>0.52359999999999995</c:v>
                </c:pt>
                <c:pt idx="15">
                  <c:v>0.52359999999999995</c:v>
                </c:pt>
                <c:pt idx="16">
                  <c:v>0.52359999999999995</c:v>
                </c:pt>
                <c:pt idx="17">
                  <c:v>0.52359999999999995</c:v>
                </c:pt>
                <c:pt idx="18">
                  <c:v>0.52359999999999995</c:v>
                </c:pt>
                <c:pt idx="19">
                  <c:v>0.52359999999999995</c:v>
                </c:pt>
                <c:pt idx="20">
                  <c:v>0.52359999999999995</c:v>
                </c:pt>
                <c:pt idx="21">
                  <c:v>0.52359999999999995</c:v>
                </c:pt>
                <c:pt idx="22">
                  <c:v>0.52359999999999995</c:v>
                </c:pt>
                <c:pt idx="23">
                  <c:v>0.52359999999999995</c:v>
                </c:pt>
                <c:pt idx="24">
                  <c:v>0.52359999999999995</c:v>
                </c:pt>
                <c:pt idx="25">
                  <c:v>0.52359999999999995</c:v>
                </c:pt>
              </c:numCache>
            </c:numRef>
          </c:val>
          <c:extLst>
            <c:ext xmlns:c16="http://schemas.microsoft.com/office/drawing/2014/chart" uri="{C3380CC4-5D6E-409C-BE32-E72D297353CC}">
              <c16:uniqueId val="{00000000-C0C4-4523-AED5-0F06C0081F1B}"/>
            </c:ext>
          </c:extLst>
        </c:ser>
        <c:ser>
          <c:idx val="1"/>
          <c:order val="1"/>
          <c:tx>
            <c:strRef>
              <c:f>Processing!$D$1</c:f>
              <c:strCache>
                <c:ptCount val="1"/>
                <c:pt idx="0">
                  <c:v>Real_GDP_Growth</c:v>
                </c:pt>
              </c:strCache>
            </c:strRef>
          </c:tx>
          <c:spPr>
            <a:solidFill>
              <a:schemeClr val="accent2"/>
            </a:solidFill>
            <a:ln w="76200">
              <a:gradFill flip="none" rotWithShape="1">
                <a:gsLst>
                  <a:gs pos="0">
                    <a:srgbClr val="374AEC"/>
                  </a:gs>
                  <a:gs pos="100000">
                    <a:srgbClr val="1B2399"/>
                  </a:gs>
                </a:gsLst>
                <a:lin ang="2700000" scaled="1"/>
                <a:tileRect/>
              </a:gradFill>
            </a:ln>
            <a:effectLst/>
          </c:spPr>
          <c:invertIfNegative val="0"/>
          <c:cat>
            <c:strRef>
              <c:f>Processing!$B$2:$B$27</c:f>
              <c:strCache>
                <c:ptCount val="26"/>
                <c:pt idx="0">
                  <c:v>99</c:v>
                </c:pt>
                <c:pt idx="1">
                  <c:v>00</c:v>
                </c:pt>
                <c:pt idx="2">
                  <c:v>01</c:v>
                </c:pt>
                <c:pt idx="3">
                  <c:v>02</c:v>
                </c:pt>
                <c:pt idx="4">
                  <c:v>03</c:v>
                </c:pt>
                <c:pt idx="5">
                  <c:v>04</c:v>
                </c:pt>
                <c:pt idx="6">
                  <c:v>05</c:v>
                </c:pt>
                <c:pt idx="7">
                  <c:v>06</c:v>
                </c:pt>
                <c:pt idx="8">
                  <c:v>07</c:v>
                </c:pt>
                <c:pt idx="9">
                  <c:v>08</c:v>
                </c:pt>
                <c:pt idx="10">
                  <c:v>09</c:v>
                </c:pt>
                <c:pt idx="11">
                  <c:v>10</c:v>
                </c:pt>
                <c:pt idx="12">
                  <c:v>11</c:v>
                </c:pt>
                <c:pt idx="13">
                  <c:v>12</c:v>
                </c:pt>
                <c:pt idx="14">
                  <c:v>13</c:v>
                </c:pt>
                <c:pt idx="15">
                  <c:v>14</c:v>
                </c:pt>
                <c:pt idx="16">
                  <c:v>15</c:v>
                </c:pt>
                <c:pt idx="17">
                  <c:v>16</c:v>
                </c:pt>
                <c:pt idx="18">
                  <c:v>17</c:v>
                </c:pt>
                <c:pt idx="19">
                  <c:v>18</c:v>
                </c:pt>
                <c:pt idx="20">
                  <c:v>19</c:v>
                </c:pt>
                <c:pt idx="21">
                  <c:v>20</c:v>
                </c:pt>
                <c:pt idx="22">
                  <c:v>21</c:v>
                </c:pt>
                <c:pt idx="23">
                  <c:v>22</c:v>
                </c:pt>
                <c:pt idx="24">
                  <c:v>23</c:v>
                </c:pt>
                <c:pt idx="25">
                  <c:v>24</c:v>
                </c:pt>
              </c:strCache>
            </c:strRef>
          </c:cat>
          <c:val>
            <c:numRef>
              <c:f>Processing!$D$2:$D$27</c:f>
              <c:numCache>
                <c:formatCode>General</c:formatCode>
                <c:ptCount val="26"/>
                <c:pt idx="0">
                  <c:v>2.82</c:v>
                </c:pt>
                <c:pt idx="1">
                  <c:v>5.84</c:v>
                </c:pt>
                <c:pt idx="2">
                  <c:v>6.46</c:v>
                </c:pt>
                <c:pt idx="3">
                  <c:v>7.67</c:v>
                </c:pt>
                <c:pt idx="4">
                  <c:v>8.43</c:v>
                </c:pt>
                <c:pt idx="5">
                  <c:v>8.73</c:v>
                </c:pt>
                <c:pt idx="6">
                  <c:v>11.62</c:v>
                </c:pt>
                <c:pt idx="7">
                  <c:v>12.83</c:v>
                </c:pt>
                <c:pt idx="8">
                  <c:v>10.41</c:v>
                </c:pt>
                <c:pt idx="9">
                  <c:v>-3.39</c:v>
                </c:pt>
                <c:pt idx="10">
                  <c:v>-16.04</c:v>
                </c:pt>
                <c:pt idx="11">
                  <c:v>-3.66</c:v>
                </c:pt>
                <c:pt idx="12">
                  <c:v>3.04</c:v>
                </c:pt>
                <c:pt idx="13">
                  <c:v>7.31</c:v>
                </c:pt>
                <c:pt idx="14">
                  <c:v>2.0099999999999998</c:v>
                </c:pt>
                <c:pt idx="15">
                  <c:v>2.09</c:v>
                </c:pt>
                <c:pt idx="16">
                  <c:v>3.78</c:v>
                </c:pt>
                <c:pt idx="17">
                  <c:v>2.5499999999999998</c:v>
                </c:pt>
                <c:pt idx="18">
                  <c:v>3.04</c:v>
                </c:pt>
                <c:pt idx="19">
                  <c:v>4.3099999999999996</c:v>
                </c:pt>
                <c:pt idx="20">
                  <c:v>0.68</c:v>
                </c:pt>
                <c:pt idx="21">
                  <c:v>-3.47</c:v>
                </c:pt>
                <c:pt idx="22">
                  <c:v>6.94</c:v>
                </c:pt>
                <c:pt idx="23">
                  <c:v>1.81</c:v>
                </c:pt>
                <c:pt idx="24">
                  <c:v>2.85</c:v>
                </c:pt>
                <c:pt idx="25">
                  <c:v>-0.44</c:v>
                </c:pt>
              </c:numCache>
            </c:numRef>
          </c:val>
          <c:extLst>
            <c:ext xmlns:c16="http://schemas.microsoft.com/office/drawing/2014/chart" uri="{C3380CC4-5D6E-409C-BE32-E72D297353CC}">
              <c16:uniqueId val="{00000001-C0C4-4523-AED5-0F06C0081F1B}"/>
            </c:ext>
          </c:extLst>
        </c:ser>
        <c:dLbls>
          <c:showLegendKey val="0"/>
          <c:showVal val="0"/>
          <c:showCatName val="0"/>
          <c:showSerName val="0"/>
          <c:showPercent val="0"/>
          <c:showBubbleSize val="0"/>
        </c:dLbls>
        <c:gapWidth val="150"/>
        <c:overlap val="100"/>
        <c:axId val="1647961264"/>
        <c:axId val="1647965584"/>
      </c:barChart>
      <c:barChart>
        <c:barDir val="col"/>
        <c:grouping val="stacked"/>
        <c:varyColors val="0"/>
        <c:ser>
          <c:idx val="3"/>
          <c:order val="3"/>
          <c:tx>
            <c:strRef>
              <c:f>Processing!$F$1</c:f>
              <c:strCache>
                <c:ptCount val="1"/>
                <c:pt idx="0">
                  <c:v>indent C</c:v>
                </c:pt>
              </c:strCache>
            </c:strRef>
          </c:tx>
          <c:spPr>
            <a:solidFill>
              <a:schemeClr val="accent4"/>
            </a:solidFill>
            <a:ln>
              <a:noFill/>
            </a:ln>
            <a:effectLst/>
          </c:spPr>
          <c:invertIfNegative val="0"/>
          <c:cat>
            <c:strRef>
              <c:f>Processing!$B$2:$B$27</c:f>
              <c:strCache>
                <c:ptCount val="26"/>
                <c:pt idx="0">
                  <c:v>99</c:v>
                </c:pt>
                <c:pt idx="1">
                  <c:v>00</c:v>
                </c:pt>
                <c:pt idx="2">
                  <c:v>01</c:v>
                </c:pt>
                <c:pt idx="3">
                  <c:v>02</c:v>
                </c:pt>
                <c:pt idx="4">
                  <c:v>03</c:v>
                </c:pt>
                <c:pt idx="5">
                  <c:v>04</c:v>
                </c:pt>
                <c:pt idx="6">
                  <c:v>05</c:v>
                </c:pt>
                <c:pt idx="7">
                  <c:v>06</c:v>
                </c:pt>
                <c:pt idx="8">
                  <c:v>07</c:v>
                </c:pt>
                <c:pt idx="9">
                  <c:v>08</c:v>
                </c:pt>
                <c:pt idx="10">
                  <c:v>09</c:v>
                </c:pt>
                <c:pt idx="11">
                  <c:v>10</c:v>
                </c:pt>
                <c:pt idx="12">
                  <c:v>11</c:v>
                </c:pt>
                <c:pt idx="13">
                  <c:v>12</c:v>
                </c:pt>
                <c:pt idx="14">
                  <c:v>13</c:v>
                </c:pt>
                <c:pt idx="15">
                  <c:v>14</c:v>
                </c:pt>
                <c:pt idx="16">
                  <c:v>15</c:v>
                </c:pt>
                <c:pt idx="17">
                  <c:v>16</c:v>
                </c:pt>
                <c:pt idx="18">
                  <c:v>17</c:v>
                </c:pt>
                <c:pt idx="19">
                  <c:v>18</c:v>
                </c:pt>
                <c:pt idx="20">
                  <c:v>19</c:v>
                </c:pt>
                <c:pt idx="21">
                  <c:v>20</c:v>
                </c:pt>
                <c:pt idx="22">
                  <c:v>21</c:v>
                </c:pt>
                <c:pt idx="23">
                  <c:v>22</c:v>
                </c:pt>
                <c:pt idx="24">
                  <c:v>23</c:v>
                </c:pt>
                <c:pt idx="25">
                  <c:v>24</c:v>
                </c:pt>
              </c:strCache>
            </c:strRef>
          </c:cat>
          <c:val>
            <c:numRef>
              <c:f>Processing!$F$2:$F$27</c:f>
              <c:numCache>
                <c:formatCode>General</c:formatCode>
                <c:ptCount val="26"/>
                <c:pt idx="0">
                  <c:v>0.52359999999999995</c:v>
                </c:pt>
                <c:pt idx="1">
                  <c:v>0.52359999999999995</c:v>
                </c:pt>
                <c:pt idx="2">
                  <c:v>0.52359999999999995</c:v>
                </c:pt>
                <c:pt idx="3">
                  <c:v>0.52359999999999995</c:v>
                </c:pt>
                <c:pt idx="4">
                  <c:v>0.52359999999999995</c:v>
                </c:pt>
                <c:pt idx="5">
                  <c:v>0.52359999999999995</c:v>
                </c:pt>
                <c:pt idx="6">
                  <c:v>0.52359999999999995</c:v>
                </c:pt>
                <c:pt idx="7">
                  <c:v>0.52359999999999995</c:v>
                </c:pt>
                <c:pt idx="8">
                  <c:v>0.52359999999999995</c:v>
                </c:pt>
                <c:pt idx="9">
                  <c:v>0.52359999999999995</c:v>
                </c:pt>
                <c:pt idx="10">
                  <c:v>0.52359999999999995</c:v>
                </c:pt>
                <c:pt idx="11">
                  <c:v>0.52359999999999995</c:v>
                </c:pt>
                <c:pt idx="12">
                  <c:v>0.52359999999999995</c:v>
                </c:pt>
                <c:pt idx="13">
                  <c:v>0.52359999999999995</c:v>
                </c:pt>
                <c:pt idx="14">
                  <c:v>0.52359999999999995</c:v>
                </c:pt>
                <c:pt idx="15">
                  <c:v>0.52359999999999995</c:v>
                </c:pt>
                <c:pt idx="16">
                  <c:v>0.52359999999999995</c:v>
                </c:pt>
                <c:pt idx="17">
                  <c:v>0.52359999999999995</c:v>
                </c:pt>
                <c:pt idx="18">
                  <c:v>0.52359999999999995</c:v>
                </c:pt>
                <c:pt idx="19">
                  <c:v>0.52359999999999995</c:v>
                </c:pt>
                <c:pt idx="20">
                  <c:v>0.52359999999999995</c:v>
                </c:pt>
                <c:pt idx="21">
                  <c:v>0.52359999999999995</c:v>
                </c:pt>
                <c:pt idx="22">
                  <c:v>0.52359999999999995</c:v>
                </c:pt>
                <c:pt idx="23">
                  <c:v>0.52359999999999995</c:v>
                </c:pt>
                <c:pt idx="24">
                  <c:v>0.52359999999999995</c:v>
                </c:pt>
                <c:pt idx="25">
                  <c:v>0.52359999999999995</c:v>
                </c:pt>
              </c:numCache>
            </c:numRef>
          </c:val>
          <c:extLst>
            <c:ext xmlns:c16="http://schemas.microsoft.com/office/drawing/2014/chart" uri="{C3380CC4-5D6E-409C-BE32-E72D297353CC}">
              <c16:uniqueId val="{00000002-C0C4-4523-AED5-0F06C0081F1B}"/>
            </c:ext>
          </c:extLst>
        </c:ser>
        <c:ser>
          <c:idx val="4"/>
          <c:order val="4"/>
          <c:tx>
            <c:strRef>
              <c:f>Processing!$G$1</c:f>
              <c:strCache>
                <c:ptCount val="1"/>
                <c:pt idx="0">
                  <c:v>Cursor I</c:v>
                </c:pt>
              </c:strCache>
            </c:strRef>
          </c:tx>
          <c:spPr>
            <a:solidFill>
              <a:schemeClr val="accent5"/>
            </a:solidFill>
            <a:ln w="76200">
              <a:gradFill>
                <a:gsLst>
                  <a:gs pos="0">
                    <a:srgbClr val="7C93FD"/>
                  </a:gs>
                  <a:gs pos="100000">
                    <a:srgbClr val="4641D1"/>
                  </a:gs>
                </a:gsLst>
                <a:lin ang="5400000" scaled="1"/>
              </a:gradFill>
            </a:ln>
            <a:effectLst/>
          </c:spPr>
          <c:invertIfNegative val="0"/>
          <c:cat>
            <c:strRef>
              <c:f>Processing!$B$2:$B$27</c:f>
              <c:strCache>
                <c:ptCount val="26"/>
                <c:pt idx="0">
                  <c:v>99</c:v>
                </c:pt>
                <c:pt idx="1">
                  <c:v>00</c:v>
                </c:pt>
                <c:pt idx="2">
                  <c:v>01</c:v>
                </c:pt>
                <c:pt idx="3">
                  <c:v>02</c:v>
                </c:pt>
                <c:pt idx="4">
                  <c:v>03</c:v>
                </c:pt>
                <c:pt idx="5">
                  <c:v>04</c:v>
                </c:pt>
                <c:pt idx="6">
                  <c:v>05</c:v>
                </c:pt>
                <c:pt idx="7">
                  <c:v>06</c:v>
                </c:pt>
                <c:pt idx="8">
                  <c:v>07</c:v>
                </c:pt>
                <c:pt idx="9">
                  <c:v>08</c:v>
                </c:pt>
                <c:pt idx="10">
                  <c:v>09</c:v>
                </c:pt>
                <c:pt idx="11">
                  <c:v>10</c:v>
                </c:pt>
                <c:pt idx="12">
                  <c:v>11</c:v>
                </c:pt>
                <c:pt idx="13">
                  <c:v>12</c:v>
                </c:pt>
                <c:pt idx="14">
                  <c:v>13</c:v>
                </c:pt>
                <c:pt idx="15">
                  <c:v>14</c:v>
                </c:pt>
                <c:pt idx="16">
                  <c:v>15</c:v>
                </c:pt>
                <c:pt idx="17">
                  <c:v>16</c:v>
                </c:pt>
                <c:pt idx="18">
                  <c:v>17</c:v>
                </c:pt>
                <c:pt idx="19">
                  <c:v>18</c:v>
                </c:pt>
                <c:pt idx="20">
                  <c:v>19</c:v>
                </c:pt>
                <c:pt idx="21">
                  <c:v>20</c:v>
                </c:pt>
                <c:pt idx="22">
                  <c:v>21</c:v>
                </c:pt>
                <c:pt idx="23">
                  <c:v>22</c:v>
                </c:pt>
                <c:pt idx="24">
                  <c:v>23</c:v>
                </c:pt>
                <c:pt idx="25">
                  <c:v>24</c:v>
                </c:pt>
              </c:strCache>
            </c:strRef>
          </c:cat>
          <c:val>
            <c:numRef>
              <c:f>Processing!$G$2:$G$27</c:f>
              <c:numCache>
                <c:formatCode>General</c:formatCode>
                <c:ptCount val="26"/>
                <c:pt idx="0">
                  <c:v>#N/A</c:v>
                </c:pt>
                <c:pt idx="1">
                  <c:v>#N/A</c:v>
                </c:pt>
                <c:pt idx="2">
                  <c:v>#N/A</c:v>
                </c:pt>
                <c:pt idx="3">
                  <c:v>#N/A</c:v>
                </c:pt>
                <c:pt idx="4">
                  <c:v>#N/A</c:v>
                </c:pt>
                <c:pt idx="5">
                  <c:v>#N/A</c:v>
                </c:pt>
                <c:pt idx="6">
                  <c:v>11.62</c:v>
                </c:pt>
                <c:pt idx="7">
                  <c:v>12.83</c:v>
                </c:pt>
                <c:pt idx="8">
                  <c:v>10.41</c:v>
                </c:pt>
                <c:pt idx="9">
                  <c:v>-3.39</c:v>
                </c:pt>
                <c:pt idx="10">
                  <c:v>-16.04</c:v>
                </c:pt>
                <c:pt idx="11">
                  <c:v>-3.66</c:v>
                </c:pt>
                <c:pt idx="12">
                  <c:v>3.04</c:v>
                </c:pt>
                <c:pt idx="13">
                  <c:v>7.31</c:v>
                </c:pt>
                <c:pt idx="14">
                  <c:v>2.0099999999999998</c:v>
                </c:pt>
                <c:pt idx="15">
                  <c:v>2.09</c:v>
                </c:pt>
                <c:pt idx="16">
                  <c:v>#N/A</c:v>
                </c:pt>
                <c:pt idx="17">
                  <c:v>#N/A</c:v>
                </c:pt>
                <c:pt idx="18">
                  <c:v>#N/A</c:v>
                </c:pt>
                <c:pt idx="19">
                  <c:v>#N/A</c:v>
                </c:pt>
                <c:pt idx="20">
                  <c:v>#N/A</c:v>
                </c:pt>
                <c:pt idx="21">
                  <c:v>#N/A</c:v>
                </c:pt>
                <c:pt idx="22">
                  <c:v>#N/A</c:v>
                </c:pt>
                <c:pt idx="23">
                  <c:v>#N/A</c:v>
                </c:pt>
                <c:pt idx="24">
                  <c:v>#N/A</c:v>
                </c:pt>
                <c:pt idx="25">
                  <c:v>#N/A</c:v>
                </c:pt>
              </c:numCache>
            </c:numRef>
          </c:val>
          <c:extLst>
            <c:ext xmlns:c16="http://schemas.microsoft.com/office/drawing/2014/chart" uri="{C3380CC4-5D6E-409C-BE32-E72D297353CC}">
              <c16:uniqueId val="{00000003-C0C4-4523-AED5-0F06C0081F1B}"/>
            </c:ext>
          </c:extLst>
        </c:ser>
        <c:dLbls>
          <c:showLegendKey val="0"/>
          <c:showVal val="0"/>
          <c:showCatName val="0"/>
          <c:showSerName val="0"/>
          <c:showPercent val="0"/>
          <c:showBubbleSize val="0"/>
        </c:dLbls>
        <c:gapWidth val="150"/>
        <c:overlap val="100"/>
        <c:axId val="1648243408"/>
        <c:axId val="1648248688"/>
      </c:barChart>
      <c:lineChart>
        <c:grouping val="standard"/>
        <c:varyColors val="0"/>
        <c:ser>
          <c:idx val="2"/>
          <c:order val="2"/>
          <c:tx>
            <c:strRef>
              <c:f>Processing!$E$1</c:f>
              <c:strCache>
                <c:ptCount val="1"/>
                <c:pt idx="0">
                  <c:v>GDP_Per_Capita_Growth</c:v>
                </c:pt>
              </c:strCache>
            </c:strRef>
          </c:tx>
          <c:spPr>
            <a:ln w="15875" cap="rnd">
              <a:solidFill>
                <a:srgbClr val="FF00FF"/>
              </a:solidFill>
              <a:round/>
            </a:ln>
            <a:effectLst>
              <a:outerShdw blurRad="63500" sx="102000" sy="102000" algn="ctr" rotWithShape="0">
                <a:prstClr val="black">
                  <a:alpha val="40000"/>
                </a:prstClr>
              </a:outerShdw>
            </a:effectLst>
          </c:spPr>
          <c:marker>
            <c:symbol val="none"/>
          </c:marker>
          <c:cat>
            <c:strRef>
              <c:f>Processing!$B$2:$B$27</c:f>
              <c:strCache>
                <c:ptCount val="26"/>
                <c:pt idx="0">
                  <c:v>99</c:v>
                </c:pt>
                <c:pt idx="1">
                  <c:v>00</c:v>
                </c:pt>
                <c:pt idx="2">
                  <c:v>01</c:v>
                </c:pt>
                <c:pt idx="3">
                  <c:v>02</c:v>
                </c:pt>
                <c:pt idx="4">
                  <c:v>03</c:v>
                </c:pt>
                <c:pt idx="5">
                  <c:v>04</c:v>
                </c:pt>
                <c:pt idx="6">
                  <c:v>05</c:v>
                </c:pt>
                <c:pt idx="7">
                  <c:v>06</c:v>
                </c:pt>
                <c:pt idx="8">
                  <c:v>07</c:v>
                </c:pt>
                <c:pt idx="9">
                  <c:v>08</c:v>
                </c:pt>
                <c:pt idx="10">
                  <c:v>09</c:v>
                </c:pt>
                <c:pt idx="11">
                  <c:v>10</c:v>
                </c:pt>
                <c:pt idx="12">
                  <c:v>11</c:v>
                </c:pt>
                <c:pt idx="13">
                  <c:v>12</c:v>
                </c:pt>
                <c:pt idx="14">
                  <c:v>13</c:v>
                </c:pt>
                <c:pt idx="15">
                  <c:v>14</c:v>
                </c:pt>
                <c:pt idx="16">
                  <c:v>15</c:v>
                </c:pt>
                <c:pt idx="17">
                  <c:v>16</c:v>
                </c:pt>
                <c:pt idx="18">
                  <c:v>17</c:v>
                </c:pt>
                <c:pt idx="19">
                  <c:v>18</c:v>
                </c:pt>
                <c:pt idx="20">
                  <c:v>19</c:v>
                </c:pt>
                <c:pt idx="21">
                  <c:v>20</c:v>
                </c:pt>
                <c:pt idx="22">
                  <c:v>21</c:v>
                </c:pt>
                <c:pt idx="23">
                  <c:v>22</c:v>
                </c:pt>
                <c:pt idx="24">
                  <c:v>23</c:v>
                </c:pt>
                <c:pt idx="25">
                  <c:v>24</c:v>
                </c:pt>
              </c:strCache>
            </c:strRef>
          </c:cat>
          <c:val>
            <c:numRef>
              <c:f>Processing!$E$2:$E$27</c:f>
              <c:numCache>
                <c:formatCode>General</c:formatCode>
                <c:ptCount val="26"/>
                <c:pt idx="0">
                  <c:v>3.07</c:v>
                </c:pt>
                <c:pt idx="1">
                  <c:v>6.09</c:v>
                </c:pt>
                <c:pt idx="2">
                  <c:v>7.08</c:v>
                </c:pt>
                <c:pt idx="3">
                  <c:v>8.09</c:v>
                </c:pt>
                <c:pt idx="4">
                  <c:v>9.0500000000000007</c:v>
                </c:pt>
                <c:pt idx="5">
                  <c:v>9.09</c:v>
                </c:pt>
                <c:pt idx="6">
                  <c:v>12.08</c:v>
                </c:pt>
                <c:pt idx="7">
                  <c:v>13.09</c:v>
                </c:pt>
                <c:pt idx="8">
                  <c:v>11.03</c:v>
                </c:pt>
                <c:pt idx="9">
                  <c:v>-2.04</c:v>
                </c:pt>
                <c:pt idx="10">
                  <c:v>-14.06</c:v>
                </c:pt>
                <c:pt idx="11">
                  <c:v>-1.06</c:v>
                </c:pt>
                <c:pt idx="12">
                  <c:v>4.09</c:v>
                </c:pt>
                <c:pt idx="13">
                  <c:v>8.06</c:v>
                </c:pt>
                <c:pt idx="14">
                  <c:v>3.02</c:v>
                </c:pt>
                <c:pt idx="15">
                  <c:v>3.01</c:v>
                </c:pt>
                <c:pt idx="16">
                  <c:v>4.0599999999999996</c:v>
                </c:pt>
                <c:pt idx="17">
                  <c:v>3.05</c:v>
                </c:pt>
                <c:pt idx="18">
                  <c:v>4.03</c:v>
                </c:pt>
                <c:pt idx="19">
                  <c:v>5.01</c:v>
                </c:pt>
                <c:pt idx="20">
                  <c:v>1.04</c:v>
                </c:pt>
                <c:pt idx="21">
                  <c:v>-2.08</c:v>
                </c:pt>
                <c:pt idx="22">
                  <c:v>7.08</c:v>
                </c:pt>
                <c:pt idx="23">
                  <c:v>2.0099999999999998</c:v>
                </c:pt>
                <c:pt idx="24">
                  <c:v>3</c:v>
                </c:pt>
                <c:pt idx="25">
                  <c:v>0.04</c:v>
                </c:pt>
              </c:numCache>
            </c:numRef>
          </c:val>
          <c:smooth val="1"/>
          <c:extLst>
            <c:ext xmlns:c16="http://schemas.microsoft.com/office/drawing/2014/chart" uri="{C3380CC4-5D6E-409C-BE32-E72D297353CC}">
              <c16:uniqueId val="{00000004-C0C4-4523-AED5-0F06C0081F1B}"/>
            </c:ext>
          </c:extLst>
        </c:ser>
        <c:dLbls>
          <c:showLegendKey val="0"/>
          <c:showVal val="0"/>
          <c:showCatName val="0"/>
          <c:showSerName val="0"/>
          <c:showPercent val="0"/>
          <c:showBubbleSize val="0"/>
        </c:dLbls>
        <c:marker val="1"/>
        <c:smooth val="0"/>
        <c:axId val="1647961264"/>
        <c:axId val="1647965584"/>
      </c:lineChart>
      <c:scatterChart>
        <c:scatterStyle val="lineMarker"/>
        <c:varyColors val="0"/>
        <c:ser>
          <c:idx val="5"/>
          <c:order val="5"/>
          <c:tx>
            <c:strRef>
              <c:f>Processing!$H$1</c:f>
              <c:strCache>
                <c:ptCount val="1"/>
                <c:pt idx="0">
                  <c:v>Cursor E</c:v>
                </c:pt>
              </c:strCache>
            </c:strRef>
          </c:tx>
          <c:spPr>
            <a:ln w="25400" cap="rnd">
              <a:noFill/>
              <a:round/>
            </a:ln>
            <a:effectLst>
              <a:outerShdw blurRad="50800" dist="38100" dir="5400000" algn="t" rotWithShape="0">
                <a:prstClr val="black">
                  <a:alpha val="40000"/>
                </a:prstClr>
              </a:outerShdw>
            </a:effectLst>
          </c:spPr>
          <c:marker>
            <c:symbol val="circle"/>
            <c:size val="5"/>
            <c:spPr>
              <a:solidFill>
                <a:schemeClr val="bg1">
                  <a:lumMod val="75000"/>
                </a:schemeClr>
              </a:solidFill>
              <a:ln w="9525">
                <a:solidFill>
                  <a:srgbClr val="FF00FF"/>
                </a:solidFill>
              </a:ln>
              <a:effectLst>
                <a:outerShdw blurRad="50800" dist="38100" dir="5400000" algn="t" rotWithShape="0">
                  <a:prstClr val="black">
                    <a:alpha val="40000"/>
                  </a:prstClr>
                </a:outerShdw>
              </a:effectLst>
            </c:spPr>
          </c:marker>
          <c:errBars>
            <c:errDir val="y"/>
            <c:errBarType val="minus"/>
            <c:errValType val="cust"/>
            <c:noEndCap val="0"/>
            <c:plus>
              <c:numLit>
                <c:formatCode>General</c:formatCode>
                <c:ptCount val="1"/>
                <c:pt idx="0">
                  <c:v>1</c:v>
                </c:pt>
              </c:numLit>
            </c:plus>
            <c:minus>
              <c:numRef>
                <c:f>Processing!$H$2:$H$27</c:f>
                <c:numCache>
                  <c:formatCode>General</c:formatCode>
                  <c:ptCount val="26"/>
                  <c:pt idx="0">
                    <c:v>#N/A</c:v>
                  </c:pt>
                  <c:pt idx="1">
                    <c:v>#N/A</c:v>
                  </c:pt>
                  <c:pt idx="2">
                    <c:v>#N/A</c:v>
                  </c:pt>
                  <c:pt idx="3">
                    <c:v>#N/A</c:v>
                  </c:pt>
                  <c:pt idx="4">
                    <c:v>#N/A</c:v>
                  </c:pt>
                  <c:pt idx="5">
                    <c:v>#N/A</c:v>
                  </c:pt>
                  <c:pt idx="6">
                    <c:v>12.08</c:v>
                  </c:pt>
                  <c:pt idx="7">
                    <c:v>13.09</c:v>
                  </c:pt>
                  <c:pt idx="8">
                    <c:v>11.03</c:v>
                  </c:pt>
                  <c:pt idx="9">
                    <c:v>-2.04</c:v>
                  </c:pt>
                  <c:pt idx="10">
                    <c:v>-14.06</c:v>
                  </c:pt>
                  <c:pt idx="11">
                    <c:v>-1.06</c:v>
                  </c:pt>
                  <c:pt idx="12">
                    <c:v>4.09</c:v>
                  </c:pt>
                  <c:pt idx="13">
                    <c:v>8.06</c:v>
                  </c:pt>
                  <c:pt idx="14">
                    <c:v>3.02</c:v>
                  </c:pt>
                  <c:pt idx="15">
                    <c:v>3.01</c:v>
                  </c:pt>
                  <c:pt idx="16">
                    <c:v>#N/A</c:v>
                  </c:pt>
                  <c:pt idx="17">
                    <c:v>#N/A</c:v>
                  </c:pt>
                  <c:pt idx="18">
                    <c:v>#N/A</c:v>
                  </c:pt>
                  <c:pt idx="19">
                    <c:v>#N/A</c:v>
                  </c:pt>
                  <c:pt idx="20">
                    <c:v>#N/A</c:v>
                  </c:pt>
                  <c:pt idx="21">
                    <c:v>#N/A</c:v>
                  </c:pt>
                  <c:pt idx="22">
                    <c:v>#N/A</c:v>
                  </c:pt>
                  <c:pt idx="23">
                    <c:v>#N/A</c:v>
                  </c:pt>
                  <c:pt idx="24">
                    <c:v>#N/A</c:v>
                  </c:pt>
                  <c:pt idx="25">
                    <c:v>#N/A</c:v>
                  </c:pt>
                </c:numCache>
              </c:numRef>
            </c:minus>
            <c:spPr>
              <a:noFill/>
              <a:ln w="9525" cap="flat" cmpd="sng" algn="ctr">
                <a:solidFill>
                  <a:srgbClr val="0093CE"/>
                </a:solidFill>
                <a:round/>
              </a:ln>
              <a:effectLst/>
            </c:spPr>
          </c:errBars>
          <c:errBars>
            <c:errDir val="x"/>
            <c:errBarType val="both"/>
            <c:errValType val="fixedVal"/>
            <c:noEndCap val="1"/>
            <c:val val="0"/>
            <c:spPr>
              <a:noFill/>
              <a:ln w="9525" cap="flat" cmpd="sng" algn="ctr">
                <a:solidFill>
                  <a:schemeClr val="tx1">
                    <a:lumMod val="65000"/>
                    <a:lumOff val="35000"/>
                  </a:schemeClr>
                </a:solidFill>
                <a:round/>
              </a:ln>
              <a:effectLst/>
            </c:spPr>
          </c:errBars>
          <c:xVal>
            <c:strRef>
              <c:f>Processing!$B$2:$B$27</c:f>
              <c:strCache>
                <c:ptCount val="26"/>
                <c:pt idx="0">
                  <c:v>99</c:v>
                </c:pt>
                <c:pt idx="1">
                  <c:v>00</c:v>
                </c:pt>
                <c:pt idx="2">
                  <c:v>01</c:v>
                </c:pt>
                <c:pt idx="3">
                  <c:v>02</c:v>
                </c:pt>
                <c:pt idx="4">
                  <c:v>03</c:v>
                </c:pt>
                <c:pt idx="5">
                  <c:v>04</c:v>
                </c:pt>
                <c:pt idx="6">
                  <c:v>05</c:v>
                </c:pt>
                <c:pt idx="7">
                  <c:v>06</c:v>
                </c:pt>
                <c:pt idx="8">
                  <c:v>07</c:v>
                </c:pt>
                <c:pt idx="9">
                  <c:v>08</c:v>
                </c:pt>
                <c:pt idx="10">
                  <c:v>09</c:v>
                </c:pt>
                <c:pt idx="11">
                  <c:v>10</c:v>
                </c:pt>
                <c:pt idx="12">
                  <c:v>11</c:v>
                </c:pt>
                <c:pt idx="13">
                  <c:v>12</c:v>
                </c:pt>
                <c:pt idx="14">
                  <c:v>13</c:v>
                </c:pt>
                <c:pt idx="15">
                  <c:v>14</c:v>
                </c:pt>
                <c:pt idx="16">
                  <c:v>15</c:v>
                </c:pt>
                <c:pt idx="17">
                  <c:v>16</c:v>
                </c:pt>
                <c:pt idx="18">
                  <c:v>17</c:v>
                </c:pt>
                <c:pt idx="19">
                  <c:v>18</c:v>
                </c:pt>
                <c:pt idx="20">
                  <c:v>19</c:v>
                </c:pt>
                <c:pt idx="21">
                  <c:v>20</c:v>
                </c:pt>
                <c:pt idx="22">
                  <c:v>21</c:v>
                </c:pt>
                <c:pt idx="23">
                  <c:v>22</c:v>
                </c:pt>
                <c:pt idx="24">
                  <c:v>23</c:v>
                </c:pt>
                <c:pt idx="25">
                  <c:v>24</c:v>
                </c:pt>
              </c:strCache>
            </c:strRef>
          </c:xVal>
          <c:yVal>
            <c:numRef>
              <c:f>Processing!$H$2:$H$27</c:f>
              <c:numCache>
                <c:formatCode>General</c:formatCode>
                <c:ptCount val="26"/>
                <c:pt idx="0">
                  <c:v>#N/A</c:v>
                </c:pt>
                <c:pt idx="1">
                  <c:v>#N/A</c:v>
                </c:pt>
                <c:pt idx="2">
                  <c:v>#N/A</c:v>
                </c:pt>
                <c:pt idx="3">
                  <c:v>#N/A</c:v>
                </c:pt>
                <c:pt idx="4">
                  <c:v>#N/A</c:v>
                </c:pt>
                <c:pt idx="5">
                  <c:v>#N/A</c:v>
                </c:pt>
                <c:pt idx="6">
                  <c:v>12.08</c:v>
                </c:pt>
                <c:pt idx="7">
                  <c:v>13.09</c:v>
                </c:pt>
                <c:pt idx="8">
                  <c:v>11.03</c:v>
                </c:pt>
                <c:pt idx="9">
                  <c:v>-2.04</c:v>
                </c:pt>
                <c:pt idx="10">
                  <c:v>-14.06</c:v>
                </c:pt>
                <c:pt idx="11">
                  <c:v>-1.06</c:v>
                </c:pt>
                <c:pt idx="12">
                  <c:v>4.09</c:v>
                </c:pt>
                <c:pt idx="13">
                  <c:v>8.06</c:v>
                </c:pt>
                <c:pt idx="14">
                  <c:v>3.02</c:v>
                </c:pt>
                <c:pt idx="15">
                  <c:v>3.01</c:v>
                </c:pt>
                <c:pt idx="16">
                  <c:v>#N/A</c:v>
                </c:pt>
                <c:pt idx="17">
                  <c:v>#N/A</c:v>
                </c:pt>
                <c:pt idx="18">
                  <c:v>#N/A</c:v>
                </c:pt>
                <c:pt idx="19">
                  <c:v>#N/A</c:v>
                </c:pt>
                <c:pt idx="20">
                  <c:v>#N/A</c:v>
                </c:pt>
                <c:pt idx="21">
                  <c:v>#N/A</c:v>
                </c:pt>
                <c:pt idx="22">
                  <c:v>#N/A</c:v>
                </c:pt>
                <c:pt idx="23">
                  <c:v>#N/A</c:v>
                </c:pt>
                <c:pt idx="24">
                  <c:v>#N/A</c:v>
                </c:pt>
                <c:pt idx="25">
                  <c:v>#N/A</c:v>
                </c:pt>
              </c:numCache>
            </c:numRef>
          </c:yVal>
          <c:smooth val="0"/>
          <c:extLst>
            <c:ext xmlns:c16="http://schemas.microsoft.com/office/drawing/2014/chart" uri="{C3380CC4-5D6E-409C-BE32-E72D297353CC}">
              <c16:uniqueId val="{00000005-C0C4-4523-AED5-0F06C0081F1B}"/>
            </c:ext>
          </c:extLst>
        </c:ser>
        <c:ser>
          <c:idx val="6"/>
          <c:order val="6"/>
          <c:tx>
            <c:strRef>
              <c:f>Processing!$I$1</c:f>
              <c:strCache>
                <c:ptCount val="1"/>
                <c:pt idx="0">
                  <c:v>Marker</c:v>
                </c:pt>
              </c:strCache>
            </c:strRef>
          </c:tx>
          <c:spPr>
            <a:ln w="25400" cap="rnd">
              <a:noFill/>
              <a:round/>
            </a:ln>
            <a:effectLst/>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C0C4-4523-AED5-0F06C0081F1B}"/>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C0C4-4523-AED5-0F06C0081F1B}"/>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C0C4-4523-AED5-0F06C0081F1B}"/>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C0C4-4523-AED5-0F06C0081F1B}"/>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C0C4-4523-AED5-0F06C0081F1B}"/>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C0C4-4523-AED5-0F06C0081F1B}"/>
                </c:ext>
              </c:extLst>
            </c:dLbl>
            <c:dLbl>
              <c:idx val="6"/>
              <c:tx>
                <c:rich>
                  <a:bodyPr/>
                  <a:lstStyle/>
                  <a:p>
                    <a:fld id="{F7695996-31F8-4399-8F82-63EC450B168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C0C4-4523-AED5-0F06C0081F1B}"/>
                </c:ext>
              </c:extLst>
            </c:dLbl>
            <c:dLbl>
              <c:idx val="7"/>
              <c:tx>
                <c:rich>
                  <a:bodyPr/>
                  <a:lstStyle/>
                  <a:p>
                    <a:fld id="{2CDEBCDE-347D-40F6-AB41-2A6E37A23B5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C0C4-4523-AED5-0F06C0081F1B}"/>
                </c:ext>
              </c:extLst>
            </c:dLbl>
            <c:dLbl>
              <c:idx val="8"/>
              <c:tx>
                <c:rich>
                  <a:bodyPr/>
                  <a:lstStyle/>
                  <a:p>
                    <a:fld id="{A27454D4-C862-4874-8FAE-2217E322C32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C0C4-4523-AED5-0F06C0081F1B}"/>
                </c:ext>
              </c:extLst>
            </c:dLbl>
            <c:dLbl>
              <c:idx val="9"/>
              <c:tx>
                <c:rich>
                  <a:bodyPr/>
                  <a:lstStyle/>
                  <a:p>
                    <a:fld id="{5C96A1FD-71A2-442B-9856-E37606353F4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C0C4-4523-AED5-0F06C0081F1B}"/>
                </c:ext>
              </c:extLst>
            </c:dLbl>
            <c:dLbl>
              <c:idx val="10"/>
              <c:tx>
                <c:rich>
                  <a:bodyPr/>
                  <a:lstStyle/>
                  <a:p>
                    <a:fld id="{82FB8E81-ECB6-43C9-835E-B85E2770D29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C0C4-4523-AED5-0F06C0081F1B}"/>
                </c:ext>
              </c:extLst>
            </c:dLbl>
            <c:dLbl>
              <c:idx val="11"/>
              <c:tx>
                <c:rich>
                  <a:bodyPr/>
                  <a:lstStyle/>
                  <a:p>
                    <a:fld id="{9951D4AD-1E21-4A3F-8FE4-FA927FF9D92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C0C4-4523-AED5-0F06C0081F1B}"/>
                </c:ext>
              </c:extLst>
            </c:dLbl>
            <c:dLbl>
              <c:idx val="12"/>
              <c:tx>
                <c:rich>
                  <a:bodyPr/>
                  <a:lstStyle/>
                  <a:p>
                    <a:fld id="{544EDCD6-296B-4CC8-99E4-8780880912B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C0C4-4523-AED5-0F06C0081F1B}"/>
                </c:ext>
              </c:extLst>
            </c:dLbl>
            <c:dLbl>
              <c:idx val="13"/>
              <c:tx>
                <c:rich>
                  <a:bodyPr/>
                  <a:lstStyle/>
                  <a:p>
                    <a:fld id="{761082CE-78D9-4867-A38C-2DE91F57408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C0C4-4523-AED5-0F06C0081F1B}"/>
                </c:ext>
              </c:extLst>
            </c:dLbl>
            <c:dLbl>
              <c:idx val="14"/>
              <c:tx>
                <c:rich>
                  <a:bodyPr/>
                  <a:lstStyle/>
                  <a:p>
                    <a:fld id="{5137BDC3-D50F-47EF-B509-135E8C7A417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C0C4-4523-AED5-0F06C0081F1B}"/>
                </c:ext>
              </c:extLst>
            </c:dLbl>
            <c:dLbl>
              <c:idx val="15"/>
              <c:tx>
                <c:rich>
                  <a:bodyPr/>
                  <a:lstStyle/>
                  <a:p>
                    <a:fld id="{7565259F-FD52-491E-82A4-80E847C6D13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C0C4-4523-AED5-0F06C0081F1B}"/>
                </c:ext>
              </c:extLst>
            </c:dLbl>
            <c:dLbl>
              <c:idx val="1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C0C4-4523-AED5-0F06C0081F1B}"/>
                </c:ext>
              </c:extLst>
            </c:dLbl>
            <c:dLbl>
              <c:idx val="1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C0C4-4523-AED5-0F06C0081F1B}"/>
                </c:ext>
              </c:extLst>
            </c:dLbl>
            <c:dLbl>
              <c:idx val="1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C0C4-4523-AED5-0F06C0081F1B}"/>
                </c:ext>
              </c:extLst>
            </c:dLbl>
            <c:dLbl>
              <c:idx val="1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C0C4-4523-AED5-0F06C0081F1B}"/>
                </c:ext>
              </c:extLst>
            </c:dLbl>
            <c:dLbl>
              <c:idx val="2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C0C4-4523-AED5-0F06C0081F1B}"/>
                </c:ext>
              </c:extLst>
            </c:dLbl>
            <c:dLbl>
              <c:idx val="2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C0C4-4523-AED5-0F06C0081F1B}"/>
                </c:ext>
              </c:extLst>
            </c:dLbl>
            <c:dLbl>
              <c:idx val="2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C0C4-4523-AED5-0F06C0081F1B}"/>
                </c:ext>
              </c:extLst>
            </c:dLbl>
            <c:dLbl>
              <c:idx val="2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C0C4-4523-AED5-0F06C0081F1B}"/>
                </c:ext>
              </c:extLst>
            </c:dLbl>
            <c:dLbl>
              <c:idx val="2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C0C4-4523-AED5-0F06C0081F1B}"/>
                </c:ext>
              </c:extLst>
            </c:dLbl>
            <c:dLbl>
              <c:idx val="2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C0C4-4523-AED5-0F06C0081F1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40000"/>
                        <a:lumOff val="60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Processing!$B$2:$B$27</c:f>
              <c:strCache>
                <c:ptCount val="26"/>
                <c:pt idx="0">
                  <c:v>99</c:v>
                </c:pt>
                <c:pt idx="1">
                  <c:v>00</c:v>
                </c:pt>
                <c:pt idx="2">
                  <c:v>01</c:v>
                </c:pt>
                <c:pt idx="3">
                  <c:v>02</c:v>
                </c:pt>
                <c:pt idx="4">
                  <c:v>03</c:v>
                </c:pt>
                <c:pt idx="5">
                  <c:v>04</c:v>
                </c:pt>
                <c:pt idx="6">
                  <c:v>05</c:v>
                </c:pt>
                <c:pt idx="7">
                  <c:v>06</c:v>
                </c:pt>
                <c:pt idx="8">
                  <c:v>07</c:v>
                </c:pt>
                <c:pt idx="9">
                  <c:v>08</c:v>
                </c:pt>
                <c:pt idx="10">
                  <c:v>09</c:v>
                </c:pt>
                <c:pt idx="11">
                  <c:v>10</c:v>
                </c:pt>
                <c:pt idx="12">
                  <c:v>11</c:v>
                </c:pt>
                <c:pt idx="13">
                  <c:v>12</c:v>
                </c:pt>
                <c:pt idx="14">
                  <c:v>13</c:v>
                </c:pt>
                <c:pt idx="15">
                  <c:v>14</c:v>
                </c:pt>
                <c:pt idx="16">
                  <c:v>15</c:v>
                </c:pt>
                <c:pt idx="17">
                  <c:v>16</c:v>
                </c:pt>
                <c:pt idx="18">
                  <c:v>17</c:v>
                </c:pt>
                <c:pt idx="19">
                  <c:v>18</c:v>
                </c:pt>
                <c:pt idx="20">
                  <c:v>19</c:v>
                </c:pt>
                <c:pt idx="21">
                  <c:v>20</c:v>
                </c:pt>
                <c:pt idx="22">
                  <c:v>21</c:v>
                </c:pt>
                <c:pt idx="23">
                  <c:v>22</c:v>
                </c:pt>
                <c:pt idx="24">
                  <c:v>23</c:v>
                </c:pt>
                <c:pt idx="25">
                  <c:v>24</c:v>
                </c:pt>
              </c:strCache>
            </c:strRef>
          </c:xVal>
          <c:yVal>
            <c:numRef>
              <c:f>Processing!$I$2:$I$27</c:f>
              <c:numCache>
                <c:formatCode>General</c:formatCode>
                <c:ptCount val="26"/>
                <c:pt idx="0">
                  <c:v>#N/A</c:v>
                </c:pt>
                <c:pt idx="1">
                  <c:v>#N/A</c:v>
                </c:pt>
                <c:pt idx="2">
                  <c:v>#N/A</c:v>
                </c:pt>
                <c:pt idx="3">
                  <c:v>#N/A</c:v>
                </c:pt>
                <c:pt idx="4">
                  <c:v>#N/A</c:v>
                </c:pt>
                <c:pt idx="5">
                  <c:v>#N/A</c:v>
                </c:pt>
                <c:pt idx="6">
                  <c:v>12.143599999999999</c:v>
                </c:pt>
                <c:pt idx="7">
                  <c:v>13.3536</c:v>
                </c:pt>
                <c:pt idx="8">
                  <c:v>10.9336</c:v>
                </c:pt>
                <c:pt idx="9">
                  <c:v>-2.8664000000000001</c:v>
                </c:pt>
                <c:pt idx="10">
                  <c:v>-15.516399999999999</c:v>
                </c:pt>
                <c:pt idx="11">
                  <c:v>-3.1364000000000001</c:v>
                </c:pt>
                <c:pt idx="12">
                  <c:v>3.5636000000000001</c:v>
                </c:pt>
                <c:pt idx="13">
                  <c:v>7.8335999999999997</c:v>
                </c:pt>
                <c:pt idx="14">
                  <c:v>2.5335999999999999</c:v>
                </c:pt>
                <c:pt idx="15">
                  <c:v>2.6135999999999999</c:v>
                </c:pt>
                <c:pt idx="16">
                  <c:v>#N/A</c:v>
                </c:pt>
                <c:pt idx="17">
                  <c:v>#N/A</c:v>
                </c:pt>
                <c:pt idx="18">
                  <c:v>#N/A</c:v>
                </c:pt>
                <c:pt idx="19">
                  <c:v>#N/A</c:v>
                </c:pt>
                <c:pt idx="20">
                  <c:v>#N/A</c:v>
                </c:pt>
                <c:pt idx="21">
                  <c:v>#N/A</c:v>
                </c:pt>
                <c:pt idx="22">
                  <c:v>#N/A</c:v>
                </c:pt>
                <c:pt idx="23">
                  <c:v>#N/A</c:v>
                </c:pt>
                <c:pt idx="24">
                  <c:v>#N/A</c:v>
                </c:pt>
                <c:pt idx="25">
                  <c:v>#N/A</c:v>
                </c:pt>
              </c:numCache>
            </c:numRef>
          </c:yVal>
          <c:smooth val="0"/>
          <c:extLst>
            <c:ext xmlns:c15="http://schemas.microsoft.com/office/drawing/2012/chart" uri="{02D57815-91ED-43cb-92C2-25804820EDAC}">
              <c15:datalabelsRange>
                <c15:f>Processing!$J$2:$J$27</c15:f>
                <c15:dlblRangeCache>
                  <c:ptCount val="26"/>
                  <c:pt idx="0">
                    <c:v>#N/A</c:v>
                  </c:pt>
                  <c:pt idx="1">
                    <c:v>#N/A</c:v>
                  </c:pt>
                  <c:pt idx="2">
                    <c:v>#N/A</c:v>
                  </c:pt>
                  <c:pt idx="3">
                    <c:v>#N/A</c:v>
                  </c:pt>
                  <c:pt idx="4">
                    <c:v>#N/A</c:v>
                  </c:pt>
                  <c:pt idx="5">
                    <c:v>#N/A</c:v>
                  </c:pt>
                  <c:pt idx="6">
                    <c:v>12</c:v>
                  </c:pt>
                  <c:pt idx="7">
                    <c:v>13</c:v>
                  </c:pt>
                  <c:pt idx="8">
                    <c:v>10</c:v>
                  </c:pt>
                  <c:pt idx="9">
                    <c:v>-3.39</c:v>
                  </c:pt>
                  <c:pt idx="10">
                    <c:v>-16.04</c:v>
                  </c:pt>
                  <c:pt idx="11">
                    <c:v>-3.66</c:v>
                  </c:pt>
                  <c:pt idx="12">
                    <c:v>3</c:v>
                  </c:pt>
                  <c:pt idx="13">
                    <c:v>7</c:v>
                  </c:pt>
                  <c:pt idx="14">
                    <c:v>2</c:v>
                  </c:pt>
                  <c:pt idx="15">
                    <c:v>2</c:v>
                  </c:pt>
                  <c:pt idx="16">
                    <c:v>#N/A</c:v>
                  </c:pt>
                  <c:pt idx="17">
                    <c:v>#N/A</c:v>
                  </c:pt>
                  <c:pt idx="18">
                    <c:v>#N/A</c:v>
                  </c:pt>
                  <c:pt idx="19">
                    <c:v>#N/A</c:v>
                  </c:pt>
                  <c:pt idx="20">
                    <c:v>#N/A</c:v>
                  </c:pt>
                  <c:pt idx="21">
                    <c:v>#N/A</c:v>
                  </c:pt>
                  <c:pt idx="22">
                    <c:v>#N/A</c:v>
                  </c:pt>
                  <c:pt idx="23">
                    <c:v>#N/A</c:v>
                  </c:pt>
                  <c:pt idx="24">
                    <c:v>#N/A</c:v>
                  </c:pt>
                  <c:pt idx="25">
                    <c:v>#N/A</c:v>
                  </c:pt>
                </c15:dlblRangeCache>
              </c15:datalabelsRange>
            </c:ext>
            <c:ext xmlns:c16="http://schemas.microsoft.com/office/drawing/2014/chart" uri="{C3380CC4-5D6E-409C-BE32-E72D297353CC}">
              <c16:uniqueId val="{00000006-C0C4-4523-AED5-0F06C0081F1B}"/>
            </c:ext>
          </c:extLst>
        </c:ser>
        <c:dLbls>
          <c:showLegendKey val="0"/>
          <c:showVal val="0"/>
          <c:showCatName val="0"/>
          <c:showSerName val="0"/>
          <c:showPercent val="0"/>
          <c:showBubbleSize val="0"/>
        </c:dLbls>
        <c:axId val="1648243408"/>
        <c:axId val="1648248688"/>
      </c:scatterChart>
      <c:catAx>
        <c:axId val="164796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40000"/>
                    <a:lumOff val="60000"/>
                  </a:schemeClr>
                </a:solidFill>
                <a:latin typeface="+mn-lt"/>
                <a:ea typeface="+mn-ea"/>
                <a:cs typeface="+mn-cs"/>
              </a:defRPr>
            </a:pPr>
            <a:endParaRPr lang="en-US"/>
          </a:p>
        </c:txPr>
        <c:crossAx val="1647965584"/>
        <c:crosses val="autoZero"/>
        <c:auto val="1"/>
        <c:lblAlgn val="ctr"/>
        <c:lblOffset val="100"/>
        <c:noMultiLvlLbl val="0"/>
      </c:catAx>
      <c:valAx>
        <c:axId val="1647965584"/>
        <c:scaling>
          <c:orientation val="minMax"/>
        </c:scaling>
        <c:delete val="0"/>
        <c:axPos val="l"/>
        <c:majorGridlines>
          <c:spPr>
            <a:ln w="9525" cap="flat" cmpd="sng" algn="ctr">
              <a:solidFill>
                <a:srgbClr val="6372A4">
                  <a:alpha val="30000"/>
                </a:srgb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lumMod val="40000"/>
                    <a:lumOff val="60000"/>
                  </a:schemeClr>
                </a:solidFill>
                <a:latin typeface="+mn-lt"/>
                <a:ea typeface="+mn-ea"/>
                <a:cs typeface="+mn-cs"/>
              </a:defRPr>
            </a:pPr>
            <a:endParaRPr lang="en-US"/>
          </a:p>
        </c:txPr>
        <c:crossAx val="1647961264"/>
        <c:crosses val="autoZero"/>
        <c:crossBetween val="between"/>
      </c:valAx>
      <c:valAx>
        <c:axId val="1648248688"/>
        <c:scaling>
          <c:orientation val="minMax"/>
        </c:scaling>
        <c:delete val="1"/>
        <c:axPos val="r"/>
        <c:numFmt formatCode="General" sourceLinked="1"/>
        <c:majorTickMark val="out"/>
        <c:minorTickMark val="none"/>
        <c:tickLblPos val="nextTo"/>
        <c:crossAx val="1648243408"/>
        <c:crosses val="max"/>
        <c:crossBetween val="between"/>
      </c:valAx>
      <c:catAx>
        <c:axId val="1648243408"/>
        <c:scaling>
          <c:orientation val="minMax"/>
        </c:scaling>
        <c:delete val="1"/>
        <c:axPos val="b"/>
        <c:numFmt formatCode="General" sourceLinked="1"/>
        <c:majorTickMark val="out"/>
        <c:minorTickMark val="none"/>
        <c:tickLblPos val="nextTo"/>
        <c:crossAx val="164824868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lumMod val="40000"/>
                    <a:lumOff val="60000"/>
                  </a:schemeClr>
                </a:solidFill>
                <a:latin typeface="+mn-lt"/>
                <a:ea typeface="+mn-ea"/>
                <a:cs typeface="+mn-cs"/>
              </a:defRPr>
            </a:pPr>
            <a:r>
              <a:rPr lang="en-US" sz="1600" b="1">
                <a:solidFill>
                  <a:schemeClr val="accent1">
                    <a:lumMod val="40000"/>
                    <a:lumOff val="60000"/>
                  </a:schemeClr>
                </a:solidFill>
              </a:rPr>
              <a:t>Wage Growth</a:t>
            </a:r>
          </a:p>
        </c:rich>
      </c:tx>
      <c:layout>
        <c:manualLayout>
          <c:xMode val="edge"/>
          <c:yMode val="edge"/>
          <c:x val="0.27655576617737598"/>
          <c:y val="6.091025080198308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40000"/>
                  <a:lumOff val="60000"/>
                </a:schemeClr>
              </a:solidFill>
              <a:latin typeface="+mn-lt"/>
              <a:ea typeface="+mn-ea"/>
              <a:cs typeface="+mn-cs"/>
            </a:defRPr>
          </a:pPr>
          <a:endParaRPr lang="en-US"/>
        </a:p>
      </c:txPr>
    </c:title>
    <c:autoTitleDeleted val="0"/>
    <c:plotArea>
      <c:layout/>
      <c:doughnutChart>
        <c:varyColors val="1"/>
        <c:ser>
          <c:idx val="0"/>
          <c:order val="0"/>
          <c:spPr>
            <a:ln>
              <a:noFill/>
            </a:ln>
          </c:spPr>
          <c:dPt>
            <c:idx val="0"/>
            <c:bubble3D val="0"/>
            <c:spPr>
              <a:gradFill>
                <a:gsLst>
                  <a:gs pos="11000">
                    <a:srgbClr val="7C93FD"/>
                  </a:gs>
                  <a:gs pos="47000">
                    <a:srgbClr val="5D63D1"/>
                  </a:gs>
                  <a:gs pos="86000">
                    <a:srgbClr val="374AEC"/>
                  </a:gs>
                </a:gsLst>
                <a:lin ang="5400000" scaled="0"/>
              </a:gradFill>
              <a:ln w="19050">
                <a:noFill/>
              </a:ln>
              <a:effectLst>
                <a:outerShdw blurRad="50800" dist="38100" dir="10800000" algn="r" rotWithShape="0">
                  <a:prstClr val="black">
                    <a:alpha val="40000"/>
                  </a:prstClr>
                </a:outerShdw>
              </a:effectLst>
            </c:spPr>
            <c:extLst>
              <c:ext xmlns:c16="http://schemas.microsoft.com/office/drawing/2014/chart" uri="{C3380CC4-5D6E-409C-BE32-E72D297353CC}">
                <c16:uniqueId val="{00000001-AC5B-4531-BE19-27A43F411E1C}"/>
              </c:ext>
            </c:extLst>
          </c:dPt>
          <c:dPt>
            <c:idx val="1"/>
            <c:bubble3D val="0"/>
            <c:spPr>
              <a:gradFill>
                <a:gsLst>
                  <a:gs pos="13000">
                    <a:srgbClr val="FF00FF">
                      <a:alpha val="63000"/>
                    </a:srgbClr>
                  </a:gs>
                  <a:gs pos="73000">
                    <a:srgbClr val="FF00FF">
                      <a:alpha val="31000"/>
                    </a:srgbClr>
                  </a:gs>
                </a:gsLst>
                <a:lin ang="5400000" scaled="0"/>
              </a:gradFill>
              <a:ln w="19050">
                <a:noFill/>
              </a:ln>
              <a:effectLst/>
            </c:spPr>
            <c:extLst>
              <c:ext xmlns:c16="http://schemas.microsoft.com/office/drawing/2014/chart" uri="{C3380CC4-5D6E-409C-BE32-E72D297353CC}">
                <c16:uniqueId val="{00000003-AC5B-4531-BE19-27A43F411E1C}"/>
              </c:ext>
            </c:extLst>
          </c:dPt>
          <c:val>
            <c:numRef>
              <c:f>Processing!$O$2:$P$2</c:f>
              <c:numCache>
                <c:formatCode>0%</c:formatCode>
                <c:ptCount val="2"/>
                <c:pt idx="0">
                  <c:v>0.51550672682099064</c:v>
                </c:pt>
                <c:pt idx="1">
                  <c:v>0.48449327317900936</c:v>
                </c:pt>
              </c:numCache>
            </c:numRef>
          </c:val>
          <c:extLst>
            <c:ext xmlns:c16="http://schemas.microsoft.com/office/drawing/2014/chart" uri="{C3380CC4-5D6E-409C-BE32-E72D297353CC}">
              <c16:uniqueId val="{00000004-AC5B-4531-BE19-27A43F411E1C}"/>
            </c:ext>
          </c:extLst>
        </c:ser>
        <c:dLbls>
          <c:showLegendKey val="0"/>
          <c:showVal val="0"/>
          <c:showCatName val="0"/>
          <c:showSerName val="0"/>
          <c:showPercent val="0"/>
          <c:showBubbleSize val="0"/>
          <c:showLeaderLines val="1"/>
        </c:dLbls>
        <c:firstSliceAng val="0"/>
        <c:holeSize val="66"/>
      </c:doughnutChart>
      <c:scatterChart>
        <c:scatterStyle val="lineMarker"/>
        <c:varyColors val="0"/>
        <c:ser>
          <c:idx val="1"/>
          <c:order val="1"/>
          <c:tx>
            <c:v>XY</c:v>
          </c:tx>
          <c:spPr>
            <a:ln w="25400" cap="rnd">
              <a:noFill/>
              <a:round/>
            </a:ln>
            <a:effectLst/>
          </c:spPr>
          <c:marker>
            <c:symbol val="circle"/>
            <c:size val="22"/>
            <c:spPr>
              <a:solidFill>
                <a:srgbClr val="FF0000"/>
              </a:solidFill>
              <a:ln w="9525">
                <a:noFill/>
              </a:ln>
              <a:effectLst/>
            </c:spPr>
          </c:marker>
          <c:dPt>
            <c:idx val="0"/>
            <c:marker>
              <c:symbol val="circle"/>
              <c:size val="22"/>
              <c:spPr>
                <a:solidFill>
                  <a:srgbClr val="7C93FD"/>
                </a:solidFill>
                <a:ln w="9525">
                  <a:noFill/>
                </a:ln>
                <a:effectLst/>
              </c:spPr>
            </c:marker>
            <c:bubble3D val="0"/>
            <c:extLst>
              <c:ext xmlns:c16="http://schemas.microsoft.com/office/drawing/2014/chart" uri="{C3380CC4-5D6E-409C-BE32-E72D297353CC}">
                <c16:uniqueId val="{00000006-AC5B-4531-BE19-27A43F411E1C}"/>
              </c:ext>
            </c:extLst>
          </c:dPt>
          <c:dPt>
            <c:idx val="1"/>
            <c:marker>
              <c:symbol val="circle"/>
              <c:size val="22"/>
              <c:spPr>
                <a:solidFill>
                  <a:srgbClr val="374AEC"/>
                </a:solidFill>
                <a:ln w="9525">
                  <a:noFill/>
                </a:ln>
                <a:effectLst/>
              </c:spPr>
            </c:marker>
            <c:bubble3D val="0"/>
            <c:extLst>
              <c:ext xmlns:c16="http://schemas.microsoft.com/office/drawing/2014/chart" uri="{C3380CC4-5D6E-409C-BE32-E72D297353CC}">
                <c16:uniqueId val="{00000007-AC5B-4531-BE19-27A43F411E1C}"/>
              </c:ext>
            </c:extLst>
          </c:dPt>
          <c:xVal>
            <c:numRef>
              <c:f>Processing!$Q$2:$Q$3</c:f>
              <c:numCache>
                <c:formatCode>General</c:formatCode>
                <c:ptCount val="2"/>
                <c:pt idx="0">
                  <c:v>0</c:v>
                </c:pt>
                <c:pt idx="1">
                  <c:v>-9.7277559417423984E-2</c:v>
                </c:pt>
              </c:numCache>
            </c:numRef>
          </c:xVal>
          <c:yVal>
            <c:numRef>
              <c:f>Processing!$R$2:$R$3</c:f>
              <c:numCache>
                <c:formatCode>General</c:formatCode>
                <c:ptCount val="2"/>
                <c:pt idx="0">
                  <c:v>1</c:v>
                </c:pt>
                <c:pt idx="1">
                  <c:v>-0.99525729157529386</c:v>
                </c:pt>
              </c:numCache>
            </c:numRef>
          </c:yVal>
          <c:smooth val="0"/>
          <c:extLst>
            <c:ext xmlns:c16="http://schemas.microsoft.com/office/drawing/2014/chart" uri="{C3380CC4-5D6E-409C-BE32-E72D297353CC}">
              <c16:uniqueId val="{00000005-AC5B-4531-BE19-27A43F411E1C}"/>
            </c:ext>
          </c:extLst>
        </c:ser>
        <c:dLbls>
          <c:showLegendKey val="0"/>
          <c:showVal val="0"/>
          <c:showCatName val="0"/>
          <c:showSerName val="0"/>
          <c:showPercent val="0"/>
          <c:showBubbleSize val="0"/>
        </c:dLbls>
        <c:axId val="1914679952"/>
        <c:axId val="1914681392"/>
      </c:scatterChart>
      <c:valAx>
        <c:axId val="1914681392"/>
        <c:scaling>
          <c:orientation val="minMax"/>
          <c:max val="1.2"/>
          <c:min val="-1.2"/>
        </c:scaling>
        <c:delete val="1"/>
        <c:axPos val="l"/>
        <c:numFmt formatCode="General" sourceLinked="1"/>
        <c:majorTickMark val="out"/>
        <c:minorTickMark val="none"/>
        <c:tickLblPos val="nextTo"/>
        <c:crossAx val="1914679952"/>
        <c:crosses val="autoZero"/>
        <c:crossBetween val="midCat"/>
      </c:valAx>
      <c:valAx>
        <c:axId val="1914679952"/>
        <c:scaling>
          <c:orientation val="minMax"/>
          <c:max val="1.2"/>
          <c:min val="-1.2"/>
        </c:scaling>
        <c:delete val="1"/>
        <c:axPos val="b"/>
        <c:numFmt formatCode="General" sourceLinked="1"/>
        <c:majorTickMark val="out"/>
        <c:minorTickMark val="none"/>
        <c:tickLblPos val="nextTo"/>
        <c:crossAx val="1914681392"/>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lumMod val="40000"/>
                    <a:lumOff val="60000"/>
                  </a:schemeClr>
                </a:solidFill>
                <a:latin typeface="+mn-lt"/>
                <a:ea typeface="+mn-ea"/>
                <a:cs typeface="+mn-cs"/>
              </a:defRPr>
            </a:pPr>
            <a:r>
              <a:rPr lang="en-US" sz="1600" b="1" baseline="0">
                <a:solidFill>
                  <a:schemeClr val="accent1">
                    <a:lumMod val="40000"/>
                    <a:lumOff val="60000"/>
                  </a:schemeClr>
                </a:solidFill>
              </a:rPr>
              <a:t>Import Export Ratio</a:t>
            </a:r>
            <a:endParaRPr lang="en-US" sz="1600" b="1">
              <a:solidFill>
                <a:schemeClr val="accent1">
                  <a:lumMod val="40000"/>
                  <a:lumOff val="60000"/>
                </a:schemeClr>
              </a:solidFill>
            </a:endParaRPr>
          </a:p>
        </c:rich>
      </c:tx>
      <c:layout>
        <c:manualLayout>
          <c:xMode val="edge"/>
          <c:yMode val="edge"/>
          <c:x val="0.1894499184583541"/>
          <c:y val="4.861110047876192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40000"/>
                  <a:lumOff val="60000"/>
                </a:schemeClr>
              </a:solidFill>
              <a:latin typeface="+mn-lt"/>
              <a:ea typeface="+mn-ea"/>
              <a:cs typeface="+mn-cs"/>
            </a:defRPr>
          </a:pPr>
          <a:endParaRPr lang="en-US"/>
        </a:p>
      </c:txPr>
    </c:title>
    <c:autoTitleDeleted val="0"/>
    <c:plotArea>
      <c:layout>
        <c:manualLayout>
          <c:layoutTarget val="inner"/>
          <c:xMode val="edge"/>
          <c:yMode val="edge"/>
          <c:x val="0.16570361882721163"/>
          <c:y val="0.22170910505050195"/>
          <c:w val="0.68344687044215724"/>
          <c:h val="0.67098820625804767"/>
        </c:manualLayout>
      </c:layout>
      <c:doughnutChart>
        <c:varyColors val="1"/>
        <c:ser>
          <c:idx val="0"/>
          <c:order val="0"/>
          <c:dPt>
            <c:idx val="0"/>
            <c:bubble3D val="0"/>
            <c:spPr>
              <a:gradFill>
                <a:gsLst>
                  <a:gs pos="16000">
                    <a:srgbClr val="7C93FD"/>
                  </a:gs>
                  <a:gs pos="67000">
                    <a:srgbClr val="4641D1"/>
                  </a:gs>
                </a:gsLst>
                <a:lin ang="5400000" scaled="0"/>
              </a:gradFill>
              <a:ln w="19050">
                <a:noFill/>
              </a:ln>
              <a:effectLst/>
            </c:spPr>
            <c:extLst>
              <c:ext xmlns:c16="http://schemas.microsoft.com/office/drawing/2014/chart" uri="{C3380CC4-5D6E-409C-BE32-E72D297353CC}">
                <c16:uniqueId val="{00000001-3D45-4CBE-90A4-6346D129E948}"/>
              </c:ext>
            </c:extLst>
          </c:dPt>
          <c:dPt>
            <c:idx val="1"/>
            <c:bubble3D val="0"/>
            <c:spPr>
              <a:gradFill>
                <a:gsLst>
                  <a:gs pos="0">
                    <a:srgbClr val="FF00FF">
                      <a:alpha val="72000"/>
                    </a:srgbClr>
                  </a:gs>
                  <a:gs pos="51000">
                    <a:srgbClr val="FF00FF">
                      <a:alpha val="38000"/>
                    </a:srgbClr>
                  </a:gs>
                </a:gsLst>
                <a:lin ang="5400000" scaled="0"/>
              </a:gradFill>
              <a:ln w="19050">
                <a:noFill/>
              </a:ln>
              <a:effectLst/>
            </c:spPr>
            <c:extLst>
              <c:ext xmlns:c16="http://schemas.microsoft.com/office/drawing/2014/chart" uri="{C3380CC4-5D6E-409C-BE32-E72D297353CC}">
                <c16:uniqueId val="{00000003-3D45-4CBE-90A4-6346D129E948}"/>
              </c:ext>
            </c:extLst>
          </c:dPt>
          <c:val>
            <c:numRef>
              <c:f>Processing!$W$2:$X$2</c:f>
              <c:numCache>
                <c:formatCode>0%</c:formatCode>
                <c:ptCount val="2"/>
                <c:pt idx="0">
                  <c:v>0.31444009349482432</c:v>
                </c:pt>
                <c:pt idx="1">
                  <c:v>0.68555990650517562</c:v>
                </c:pt>
              </c:numCache>
            </c:numRef>
          </c:val>
          <c:extLst>
            <c:ext xmlns:c16="http://schemas.microsoft.com/office/drawing/2014/chart" uri="{C3380CC4-5D6E-409C-BE32-E72D297353CC}">
              <c16:uniqueId val="{00000004-3D45-4CBE-90A4-6346D129E948}"/>
            </c:ext>
          </c:extLst>
        </c:ser>
        <c:dLbls>
          <c:showLegendKey val="0"/>
          <c:showVal val="0"/>
          <c:showCatName val="0"/>
          <c:showSerName val="0"/>
          <c:showPercent val="0"/>
          <c:showBubbleSize val="0"/>
          <c:showLeaderLines val="1"/>
        </c:dLbls>
        <c:firstSliceAng val="0"/>
        <c:holeSize val="67"/>
      </c:doughnutChart>
      <c:scatterChart>
        <c:scatterStyle val="lineMarker"/>
        <c:varyColors val="0"/>
        <c:ser>
          <c:idx val="1"/>
          <c:order val="1"/>
          <c:tx>
            <c:v>XY</c:v>
          </c:tx>
          <c:spPr>
            <a:ln w="25400" cap="rnd">
              <a:noFill/>
              <a:round/>
            </a:ln>
            <a:effectLst/>
          </c:spPr>
          <c:marker>
            <c:symbol val="circle"/>
            <c:size val="22"/>
            <c:spPr>
              <a:solidFill>
                <a:schemeClr val="tx1"/>
              </a:solidFill>
              <a:ln w="9525">
                <a:noFill/>
              </a:ln>
              <a:effectLst/>
            </c:spPr>
          </c:marker>
          <c:dPt>
            <c:idx val="0"/>
            <c:marker>
              <c:symbol val="circle"/>
              <c:size val="22"/>
              <c:spPr>
                <a:solidFill>
                  <a:srgbClr val="7C93FD"/>
                </a:solidFill>
                <a:ln w="9525">
                  <a:noFill/>
                </a:ln>
                <a:effectLst/>
              </c:spPr>
            </c:marker>
            <c:bubble3D val="0"/>
            <c:extLst>
              <c:ext xmlns:c16="http://schemas.microsoft.com/office/drawing/2014/chart" uri="{C3380CC4-5D6E-409C-BE32-E72D297353CC}">
                <c16:uniqueId val="{00000008-3D45-4CBE-90A4-6346D129E948}"/>
              </c:ext>
            </c:extLst>
          </c:dPt>
          <c:dPt>
            <c:idx val="1"/>
            <c:marker>
              <c:symbol val="circle"/>
              <c:size val="22"/>
              <c:spPr>
                <a:solidFill>
                  <a:srgbClr val="4641D1"/>
                </a:solidFill>
                <a:ln w="9525">
                  <a:noFill/>
                </a:ln>
                <a:effectLst/>
              </c:spPr>
            </c:marker>
            <c:bubble3D val="0"/>
            <c:extLst>
              <c:ext xmlns:c16="http://schemas.microsoft.com/office/drawing/2014/chart" uri="{C3380CC4-5D6E-409C-BE32-E72D297353CC}">
                <c16:uniqueId val="{00000007-3D45-4CBE-90A4-6346D129E948}"/>
              </c:ext>
            </c:extLst>
          </c:dPt>
          <c:xVal>
            <c:numRef>
              <c:f>Processing!$Y$2:$Y$3</c:f>
              <c:numCache>
                <c:formatCode>General</c:formatCode>
                <c:ptCount val="2"/>
                <c:pt idx="0">
                  <c:v>0</c:v>
                </c:pt>
                <c:pt idx="1">
                  <c:v>0.91914610842586075</c:v>
                </c:pt>
              </c:numCache>
            </c:numRef>
          </c:xVal>
          <c:yVal>
            <c:numRef>
              <c:f>Processing!$Z$2:$Z$3</c:f>
              <c:numCache>
                <c:formatCode>General</c:formatCode>
                <c:ptCount val="2"/>
                <c:pt idx="0">
                  <c:v>1</c:v>
                </c:pt>
                <c:pt idx="1">
                  <c:v>-0.39391678228478139</c:v>
                </c:pt>
              </c:numCache>
            </c:numRef>
          </c:yVal>
          <c:smooth val="0"/>
          <c:extLst>
            <c:ext xmlns:c16="http://schemas.microsoft.com/office/drawing/2014/chart" uri="{C3380CC4-5D6E-409C-BE32-E72D297353CC}">
              <c16:uniqueId val="{00000005-3D45-4CBE-90A4-6346D129E948}"/>
            </c:ext>
          </c:extLst>
        </c:ser>
        <c:dLbls>
          <c:showLegendKey val="0"/>
          <c:showVal val="0"/>
          <c:showCatName val="0"/>
          <c:showSerName val="0"/>
          <c:showPercent val="0"/>
          <c:showBubbleSize val="0"/>
        </c:dLbls>
        <c:axId val="1027169279"/>
        <c:axId val="1186416863"/>
      </c:scatterChart>
      <c:valAx>
        <c:axId val="1186416863"/>
        <c:scaling>
          <c:orientation val="minMax"/>
          <c:max val="1.2"/>
          <c:min val="-1.2"/>
        </c:scaling>
        <c:delete val="1"/>
        <c:axPos val="l"/>
        <c:numFmt formatCode="General" sourceLinked="1"/>
        <c:majorTickMark val="out"/>
        <c:minorTickMark val="none"/>
        <c:tickLblPos val="nextTo"/>
        <c:crossAx val="1027169279"/>
        <c:crosses val="autoZero"/>
        <c:crossBetween val="midCat"/>
      </c:valAx>
      <c:valAx>
        <c:axId val="1027169279"/>
        <c:scaling>
          <c:orientation val="minMax"/>
          <c:max val="1.2"/>
          <c:min val="-1.2"/>
        </c:scaling>
        <c:delete val="1"/>
        <c:axPos val="b"/>
        <c:numFmt formatCode="General" sourceLinked="1"/>
        <c:majorTickMark val="out"/>
        <c:minorTickMark val="none"/>
        <c:tickLblPos val="nextTo"/>
        <c:crossAx val="11864168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523882481565927"/>
          <c:y val="0.20490141690565486"/>
          <c:w val="0.44007792272372043"/>
          <c:h val="0.73346314977596971"/>
        </c:manualLayout>
      </c:layout>
      <c:doughnutChart>
        <c:varyColors val="1"/>
        <c:ser>
          <c:idx val="0"/>
          <c:order val="0"/>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8DA0-4EE4-B73C-531B31261AB5}"/>
            </c:ext>
          </c:extLst>
        </c:ser>
        <c:ser>
          <c:idx val="1"/>
          <c:order val="1"/>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8DA0-4EE4-B73C-531B31261AB5}"/>
            </c:ext>
          </c:extLst>
        </c:ser>
        <c:ser>
          <c:idx val="2"/>
          <c:order val="2"/>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2-8DA0-4EE4-B73C-531B31261AB5}"/>
            </c:ext>
          </c:extLst>
        </c:ser>
        <c:ser>
          <c:idx val="3"/>
          <c:order val="3"/>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3-8DA0-4EE4-B73C-531B31261AB5}"/>
            </c:ext>
          </c:extLst>
        </c:ser>
        <c:ser>
          <c:idx val="4"/>
          <c:order val="4"/>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4-8DA0-4EE4-B73C-531B31261AB5}"/>
            </c:ext>
          </c:extLst>
        </c:ser>
        <c:dLbls>
          <c:showLegendKey val="0"/>
          <c:showVal val="0"/>
          <c:showCatName val="0"/>
          <c:showSerName val="0"/>
          <c:showPercent val="0"/>
          <c:showBubbleSize val="0"/>
          <c:showLeaderLines val="1"/>
        </c:dLbls>
        <c:firstSliceAng val="270"/>
        <c:holeSize val="29"/>
      </c:doughnutChart>
    </c:plotArea>
    <c:legend>
      <c:legendPos val="b"/>
      <c:layout>
        <c:manualLayout>
          <c:xMode val="edge"/>
          <c:yMode val="edge"/>
          <c:x val="0.17197138434470516"/>
          <c:y val="0.58196497320513063"/>
          <c:w val="0.66815581289747472"/>
          <c:h val="8.0197188957031471E-2"/>
        </c:manualLayout>
      </c:layout>
      <c:overlay val="0"/>
      <c:txPr>
        <a:bodyPr/>
        <a:lstStyle/>
        <a:p>
          <a:pPr rtl="0">
            <a:defRPr sz="800">
              <a:solidFill>
                <a:schemeClr val="tx2">
                  <a:lumMod val="25000"/>
                  <a:lumOff val="75000"/>
                </a:schemeClr>
              </a:solidFill>
            </a:defRPr>
          </a:pPr>
          <a:endParaRPr lang="ru-RU"/>
        </a:p>
      </c:txPr>
    </c:legend>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Processing!$C$1</c:f>
              <c:strCache>
                <c:ptCount val="1"/>
                <c:pt idx="0">
                  <c:v>indent</c:v>
                </c:pt>
              </c:strCache>
            </c:strRef>
          </c:tx>
          <c:spPr>
            <a:solidFill>
              <a:schemeClr val="accent1"/>
            </a:solidFill>
            <a:ln>
              <a:noFill/>
            </a:ln>
            <a:effectLst/>
          </c:spPr>
          <c:invertIfNegative val="0"/>
          <c:cat>
            <c:strRef>
              <c:f>Processing!$B$2:$B$27</c:f>
              <c:strCache>
                <c:ptCount val="26"/>
                <c:pt idx="0">
                  <c:v>99</c:v>
                </c:pt>
                <c:pt idx="1">
                  <c:v>00</c:v>
                </c:pt>
                <c:pt idx="2">
                  <c:v>01</c:v>
                </c:pt>
                <c:pt idx="3">
                  <c:v>02</c:v>
                </c:pt>
                <c:pt idx="4">
                  <c:v>03</c:v>
                </c:pt>
                <c:pt idx="5">
                  <c:v>04</c:v>
                </c:pt>
                <c:pt idx="6">
                  <c:v>05</c:v>
                </c:pt>
                <c:pt idx="7">
                  <c:v>06</c:v>
                </c:pt>
                <c:pt idx="8">
                  <c:v>07</c:v>
                </c:pt>
                <c:pt idx="9">
                  <c:v>08</c:v>
                </c:pt>
                <c:pt idx="10">
                  <c:v>09</c:v>
                </c:pt>
                <c:pt idx="11">
                  <c:v>10</c:v>
                </c:pt>
                <c:pt idx="12">
                  <c:v>11</c:v>
                </c:pt>
                <c:pt idx="13">
                  <c:v>12</c:v>
                </c:pt>
                <c:pt idx="14">
                  <c:v>13</c:v>
                </c:pt>
                <c:pt idx="15">
                  <c:v>14</c:v>
                </c:pt>
                <c:pt idx="16">
                  <c:v>15</c:v>
                </c:pt>
                <c:pt idx="17">
                  <c:v>16</c:v>
                </c:pt>
                <c:pt idx="18">
                  <c:v>17</c:v>
                </c:pt>
                <c:pt idx="19">
                  <c:v>18</c:v>
                </c:pt>
                <c:pt idx="20">
                  <c:v>19</c:v>
                </c:pt>
                <c:pt idx="21">
                  <c:v>20</c:v>
                </c:pt>
                <c:pt idx="22">
                  <c:v>21</c:v>
                </c:pt>
                <c:pt idx="23">
                  <c:v>22</c:v>
                </c:pt>
                <c:pt idx="24">
                  <c:v>23</c:v>
                </c:pt>
                <c:pt idx="25">
                  <c:v>24</c:v>
                </c:pt>
              </c:strCache>
            </c:strRef>
          </c:cat>
          <c:val>
            <c:numRef>
              <c:f>Processing!$C$2:$C$27</c:f>
              <c:numCache>
                <c:formatCode>General</c:formatCode>
                <c:ptCount val="26"/>
                <c:pt idx="0">
                  <c:v>0.52359999999999995</c:v>
                </c:pt>
                <c:pt idx="1">
                  <c:v>0.52359999999999995</c:v>
                </c:pt>
                <c:pt idx="2">
                  <c:v>0.52359999999999995</c:v>
                </c:pt>
                <c:pt idx="3">
                  <c:v>0.52359999999999995</c:v>
                </c:pt>
                <c:pt idx="4">
                  <c:v>0.52359999999999995</c:v>
                </c:pt>
                <c:pt idx="5">
                  <c:v>0.52359999999999995</c:v>
                </c:pt>
                <c:pt idx="6">
                  <c:v>0.52359999999999995</c:v>
                </c:pt>
                <c:pt idx="7">
                  <c:v>0.52359999999999995</c:v>
                </c:pt>
                <c:pt idx="8">
                  <c:v>0.52359999999999995</c:v>
                </c:pt>
                <c:pt idx="9">
                  <c:v>0.52359999999999995</c:v>
                </c:pt>
                <c:pt idx="10">
                  <c:v>0.52359999999999995</c:v>
                </c:pt>
                <c:pt idx="11">
                  <c:v>0.52359999999999995</c:v>
                </c:pt>
                <c:pt idx="12">
                  <c:v>0.52359999999999995</c:v>
                </c:pt>
                <c:pt idx="13">
                  <c:v>0.52359999999999995</c:v>
                </c:pt>
                <c:pt idx="14">
                  <c:v>0.52359999999999995</c:v>
                </c:pt>
                <c:pt idx="15">
                  <c:v>0.52359999999999995</c:v>
                </c:pt>
                <c:pt idx="16">
                  <c:v>0.52359999999999995</c:v>
                </c:pt>
                <c:pt idx="17">
                  <c:v>0.52359999999999995</c:v>
                </c:pt>
                <c:pt idx="18">
                  <c:v>0.52359999999999995</c:v>
                </c:pt>
                <c:pt idx="19">
                  <c:v>0.52359999999999995</c:v>
                </c:pt>
                <c:pt idx="20">
                  <c:v>0.52359999999999995</c:v>
                </c:pt>
                <c:pt idx="21">
                  <c:v>0.52359999999999995</c:v>
                </c:pt>
                <c:pt idx="22">
                  <c:v>0.52359999999999995</c:v>
                </c:pt>
                <c:pt idx="23">
                  <c:v>0.52359999999999995</c:v>
                </c:pt>
                <c:pt idx="24">
                  <c:v>0.52359999999999995</c:v>
                </c:pt>
                <c:pt idx="25">
                  <c:v>0.52359999999999995</c:v>
                </c:pt>
              </c:numCache>
            </c:numRef>
          </c:val>
          <c:extLst>
            <c:ext xmlns:c16="http://schemas.microsoft.com/office/drawing/2014/chart" uri="{C3380CC4-5D6E-409C-BE32-E72D297353CC}">
              <c16:uniqueId val="{00000000-3131-4863-8405-29655ABF277D}"/>
            </c:ext>
          </c:extLst>
        </c:ser>
        <c:ser>
          <c:idx val="1"/>
          <c:order val="1"/>
          <c:tx>
            <c:strRef>
              <c:f>Processing!$D$1</c:f>
              <c:strCache>
                <c:ptCount val="1"/>
                <c:pt idx="0">
                  <c:v>Real_GDP_Growth</c:v>
                </c:pt>
              </c:strCache>
            </c:strRef>
          </c:tx>
          <c:spPr>
            <a:solidFill>
              <a:schemeClr val="accent2"/>
            </a:solidFill>
            <a:ln w="127000">
              <a:gradFill>
                <a:gsLst>
                  <a:gs pos="0">
                    <a:srgbClr val="374AEC"/>
                  </a:gs>
                  <a:gs pos="100000">
                    <a:srgbClr val="1B2399"/>
                  </a:gs>
                </a:gsLst>
                <a:lin ang="5400000" scaled="1"/>
              </a:gradFill>
            </a:ln>
            <a:effectLst/>
          </c:spPr>
          <c:invertIfNegative val="0"/>
          <c:cat>
            <c:strRef>
              <c:f>Processing!$B$2:$B$27</c:f>
              <c:strCache>
                <c:ptCount val="26"/>
                <c:pt idx="0">
                  <c:v>99</c:v>
                </c:pt>
                <c:pt idx="1">
                  <c:v>00</c:v>
                </c:pt>
                <c:pt idx="2">
                  <c:v>01</c:v>
                </c:pt>
                <c:pt idx="3">
                  <c:v>02</c:v>
                </c:pt>
                <c:pt idx="4">
                  <c:v>03</c:v>
                </c:pt>
                <c:pt idx="5">
                  <c:v>04</c:v>
                </c:pt>
                <c:pt idx="6">
                  <c:v>05</c:v>
                </c:pt>
                <c:pt idx="7">
                  <c:v>06</c:v>
                </c:pt>
                <c:pt idx="8">
                  <c:v>07</c:v>
                </c:pt>
                <c:pt idx="9">
                  <c:v>08</c:v>
                </c:pt>
                <c:pt idx="10">
                  <c:v>09</c:v>
                </c:pt>
                <c:pt idx="11">
                  <c:v>10</c:v>
                </c:pt>
                <c:pt idx="12">
                  <c:v>11</c:v>
                </c:pt>
                <c:pt idx="13">
                  <c:v>12</c:v>
                </c:pt>
                <c:pt idx="14">
                  <c:v>13</c:v>
                </c:pt>
                <c:pt idx="15">
                  <c:v>14</c:v>
                </c:pt>
                <c:pt idx="16">
                  <c:v>15</c:v>
                </c:pt>
                <c:pt idx="17">
                  <c:v>16</c:v>
                </c:pt>
                <c:pt idx="18">
                  <c:v>17</c:v>
                </c:pt>
                <c:pt idx="19">
                  <c:v>18</c:v>
                </c:pt>
                <c:pt idx="20">
                  <c:v>19</c:v>
                </c:pt>
                <c:pt idx="21">
                  <c:v>20</c:v>
                </c:pt>
                <c:pt idx="22">
                  <c:v>21</c:v>
                </c:pt>
                <c:pt idx="23">
                  <c:v>22</c:v>
                </c:pt>
                <c:pt idx="24">
                  <c:v>23</c:v>
                </c:pt>
                <c:pt idx="25">
                  <c:v>24</c:v>
                </c:pt>
              </c:strCache>
            </c:strRef>
          </c:cat>
          <c:val>
            <c:numRef>
              <c:f>Processing!$D$2:$D$27</c:f>
              <c:numCache>
                <c:formatCode>General</c:formatCode>
                <c:ptCount val="26"/>
                <c:pt idx="0">
                  <c:v>2.82</c:v>
                </c:pt>
                <c:pt idx="1">
                  <c:v>5.84</c:v>
                </c:pt>
                <c:pt idx="2">
                  <c:v>6.46</c:v>
                </c:pt>
                <c:pt idx="3">
                  <c:v>7.67</c:v>
                </c:pt>
                <c:pt idx="4">
                  <c:v>8.43</c:v>
                </c:pt>
                <c:pt idx="5">
                  <c:v>8.73</c:v>
                </c:pt>
                <c:pt idx="6">
                  <c:v>11.62</c:v>
                </c:pt>
                <c:pt idx="7">
                  <c:v>12.83</c:v>
                </c:pt>
                <c:pt idx="8">
                  <c:v>10.41</c:v>
                </c:pt>
                <c:pt idx="9">
                  <c:v>-3.39</c:v>
                </c:pt>
                <c:pt idx="10">
                  <c:v>-16.04</c:v>
                </c:pt>
                <c:pt idx="11">
                  <c:v>-3.66</c:v>
                </c:pt>
                <c:pt idx="12">
                  <c:v>3.04</c:v>
                </c:pt>
                <c:pt idx="13">
                  <c:v>7.31</c:v>
                </c:pt>
                <c:pt idx="14">
                  <c:v>2.0099999999999998</c:v>
                </c:pt>
                <c:pt idx="15">
                  <c:v>2.09</c:v>
                </c:pt>
                <c:pt idx="16">
                  <c:v>3.78</c:v>
                </c:pt>
                <c:pt idx="17">
                  <c:v>2.5499999999999998</c:v>
                </c:pt>
                <c:pt idx="18">
                  <c:v>3.04</c:v>
                </c:pt>
                <c:pt idx="19">
                  <c:v>4.3099999999999996</c:v>
                </c:pt>
                <c:pt idx="20">
                  <c:v>0.68</c:v>
                </c:pt>
                <c:pt idx="21">
                  <c:v>-3.47</c:v>
                </c:pt>
                <c:pt idx="22">
                  <c:v>6.94</c:v>
                </c:pt>
                <c:pt idx="23">
                  <c:v>1.81</c:v>
                </c:pt>
                <c:pt idx="24">
                  <c:v>2.85</c:v>
                </c:pt>
                <c:pt idx="25">
                  <c:v>-0.44</c:v>
                </c:pt>
              </c:numCache>
            </c:numRef>
          </c:val>
          <c:extLst>
            <c:ext xmlns:c16="http://schemas.microsoft.com/office/drawing/2014/chart" uri="{C3380CC4-5D6E-409C-BE32-E72D297353CC}">
              <c16:uniqueId val="{00000001-3131-4863-8405-29655ABF277D}"/>
            </c:ext>
          </c:extLst>
        </c:ser>
        <c:dLbls>
          <c:showLegendKey val="0"/>
          <c:showVal val="0"/>
          <c:showCatName val="0"/>
          <c:showSerName val="0"/>
          <c:showPercent val="0"/>
          <c:showBubbleSize val="0"/>
        </c:dLbls>
        <c:gapWidth val="435"/>
        <c:overlap val="100"/>
        <c:axId val="1647961264"/>
        <c:axId val="1647965584"/>
      </c:barChart>
      <c:barChart>
        <c:barDir val="col"/>
        <c:grouping val="stacked"/>
        <c:varyColors val="0"/>
        <c:ser>
          <c:idx val="3"/>
          <c:order val="3"/>
          <c:tx>
            <c:strRef>
              <c:f>Processing!$F$1</c:f>
              <c:strCache>
                <c:ptCount val="1"/>
                <c:pt idx="0">
                  <c:v>indent C</c:v>
                </c:pt>
              </c:strCache>
            </c:strRef>
          </c:tx>
          <c:spPr>
            <a:solidFill>
              <a:schemeClr val="accent4"/>
            </a:solidFill>
            <a:ln>
              <a:noFill/>
            </a:ln>
            <a:effectLst/>
          </c:spPr>
          <c:invertIfNegative val="0"/>
          <c:cat>
            <c:strRef>
              <c:f>Processing!$B$2:$B$27</c:f>
              <c:strCache>
                <c:ptCount val="26"/>
                <c:pt idx="0">
                  <c:v>99</c:v>
                </c:pt>
                <c:pt idx="1">
                  <c:v>00</c:v>
                </c:pt>
                <c:pt idx="2">
                  <c:v>01</c:v>
                </c:pt>
                <c:pt idx="3">
                  <c:v>02</c:v>
                </c:pt>
                <c:pt idx="4">
                  <c:v>03</c:v>
                </c:pt>
                <c:pt idx="5">
                  <c:v>04</c:v>
                </c:pt>
                <c:pt idx="6">
                  <c:v>05</c:v>
                </c:pt>
                <c:pt idx="7">
                  <c:v>06</c:v>
                </c:pt>
                <c:pt idx="8">
                  <c:v>07</c:v>
                </c:pt>
                <c:pt idx="9">
                  <c:v>08</c:v>
                </c:pt>
                <c:pt idx="10">
                  <c:v>09</c:v>
                </c:pt>
                <c:pt idx="11">
                  <c:v>10</c:v>
                </c:pt>
                <c:pt idx="12">
                  <c:v>11</c:v>
                </c:pt>
                <c:pt idx="13">
                  <c:v>12</c:v>
                </c:pt>
                <c:pt idx="14">
                  <c:v>13</c:v>
                </c:pt>
                <c:pt idx="15">
                  <c:v>14</c:v>
                </c:pt>
                <c:pt idx="16">
                  <c:v>15</c:v>
                </c:pt>
                <c:pt idx="17">
                  <c:v>16</c:v>
                </c:pt>
                <c:pt idx="18">
                  <c:v>17</c:v>
                </c:pt>
                <c:pt idx="19">
                  <c:v>18</c:v>
                </c:pt>
                <c:pt idx="20">
                  <c:v>19</c:v>
                </c:pt>
                <c:pt idx="21">
                  <c:v>20</c:v>
                </c:pt>
                <c:pt idx="22">
                  <c:v>21</c:v>
                </c:pt>
                <c:pt idx="23">
                  <c:v>22</c:v>
                </c:pt>
                <c:pt idx="24">
                  <c:v>23</c:v>
                </c:pt>
                <c:pt idx="25">
                  <c:v>24</c:v>
                </c:pt>
              </c:strCache>
            </c:strRef>
          </c:cat>
          <c:val>
            <c:numRef>
              <c:f>Processing!$F$2:$F$27</c:f>
              <c:numCache>
                <c:formatCode>General</c:formatCode>
                <c:ptCount val="26"/>
                <c:pt idx="0">
                  <c:v>0.52359999999999995</c:v>
                </c:pt>
                <c:pt idx="1">
                  <c:v>0.52359999999999995</c:v>
                </c:pt>
                <c:pt idx="2">
                  <c:v>0.52359999999999995</c:v>
                </c:pt>
                <c:pt idx="3">
                  <c:v>0.52359999999999995</c:v>
                </c:pt>
                <c:pt idx="4">
                  <c:v>0.52359999999999995</c:v>
                </c:pt>
                <c:pt idx="5">
                  <c:v>0.52359999999999995</c:v>
                </c:pt>
                <c:pt idx="6">
                  <c:v>0.52359999999999995</c:v>
                </c:pt>
                <c:pt idx="7">
                  <c:v>0.52359999999999995</c:v>
                </c:pt>
                <c:pt idx="8">
                  <c:v>0.52359999999999995</c:v>
                </c:pt>
                <c:pt idx="9">
                  <c:v>0.52359999999999995</c:v>
                </c:pt>
                <c:pt idx="10">
                  <c:v>0.52359999999999995</c:v>
                </c:pt>
                <c:pt idx="11">
                  <c:v>0.52359999999999995</c:v>
                </c:pt>
                <c:pt idx="12">
                  <c:v>0.52359999999999995</c:v>
                </c:pt>
                <c:pt idx="13">
                  <c:v>0.52359999999999995</c:v>
                </c:pt>
                <c:pt idx="14">
                  <c:v>0.52359999999999995</c:v>
                </c:pt>
                <c:pt idx="15">
                  <c:v>0.52359999999999995</c:v>
                </c:pt>
                <c:pt idx="16">
                  <c:v>0.52359999999999995</c:v>
                </c:pt>
                <c:pt idx="17">
                  <c:v>0.52359999999999995</c:v>
                </c:pt>
                <c:pt idx="18">
                  <c:v>0.52359999999999995</c:v>
                </c:pt>
                <c:pt idx="19">
                  <c:v>0.52359999999999995</c:v>
                </c:pt>
                <c:pt idx="20">
                  <c:v>0.52359999999999995</c:v>
                </c:pt>
                <c:pt idx="21">
                  <c:v>0.52359999999999995</c:v>
                </c:pt>
                <c:pt idx="22">
                  <c:v>0.52359999999999995</c:v>
                </c:pt>
                <c:pt idx="23">
                  <c:v>0.52359999999999995</c:v>
                </c:pt>
                <c:pt idx="24">
                  <c:v>0.52359999999999995</c:v>
                </c:pt>
                <c:pt idx="25">
                  <c:v>0.52359999999999995</c:v>
                </c:pt>
              </c:numCache>
            </c:numRef>
          </c:val>
          <c:extLst>
            <c:ext xmlns:c16="http://schemas.microsoft.com/office/drawing/2014/chart" uri="{C3380CC4-5D6E-409C-BE32-E72D297353CC}">
              <c16:uniqueId val="{00000002-3131-4863-8405-29655ABF277D}"/>
            </c:ext>
          </c:extLst>
        </c:ser>
        <c:ser>
          <c:idx val="4"/>
          <c:order val="4"/>
          <c:tx>
            <c:strRef>
              <c:f>Processing!$G$1</c:f>
              <c:strCache>
                <c:ptCount val="1"/>
                <c:pt idx="0">
                  <c:v>Cursor I</c:v>
                </c:pt>
              </c:strCache>
            </c:strRef>
          </c:tx>
          <c:spPr>
            <a:solidFill>
              <a:schemeClr val="accent5"/>
            </a:solidFill>
            <a:ln w="127000">
              <a:gradFill>
                <a:gsLst>
                  <a:gs pos="0">
                    <a:srgbClr val="7C93FD"/>
                  </a:gs>
                  <a:gs pos="100000">
                    <a:srgbClr val="4641D1"/>
                  </a:gs>
                </a:gsLst>
                <a:lin ang="5400000" scaled="1"/>
              </a:gradFill>
            </a:ln>
            <a:effectLst/>
          </c:spPr>
          <c:invertIfNegative val="0"/>
          <c:cat>
            <c:strRef>
              <c:f>Processing!$B$2:$B$27</c:f>
              <c:strCache>
                <c:ptCount val="26"/>
                <c:pt idx="0">
                  <c:v>99</c:v>
                </c:pt>
                <c:pt idx="1">
                  <c:v>00</c:v>
                </c:pt>
                <c:pt idx="2">
                  <c:v>01</c:v>
                </c:pt>
                <c:pt idx="3">
                  <c:v>02</c:v>
                </c:pt>
                <c:pt idx="4">
                  <c:v>03</c:v>
                </c:pt>
                <c:pt idx="5">
                  <c:v>04</c:v>
                </c:pt>
                <c:pt idx="6">
                  <c:v>05</c:v>
                </c:pt>
                <c:pt idx="7">
                  <c:v>06</c:v>
                </c:pt>
                <c:pt idx="8">
                  <c:v>07</c:v>
                </c:pt>
                <c:pt idx="9">
                  <c:v>08</c:v>
                </c:pt>
                <c:pt idx="10">
                  <c:v>09</c:v>
                </c:pt>
                <c:pt idx="11">
                  <c:v>10</c:v>
                </c:pt>
                <c:pt idx="12">
                  <c:v>11</c:v>
                </c:pt>
                <c:pt idx="13">
                  <c:v>12</c:v>
                </c:pt>
                <c:pt idx="14">
                  <c:v>13</c:v>
                </c:pt>
                <c:pt idx="15">
                  <c:v>14</c:v>
                </c:pt>
                <c:pt idx="16">
                  <c:v>15</c:v>
                </c:pt>
                <c:pt idx="17">
                  <c:v>16</c:v>
                </c:pt>
                <c:pt idx="18">
                  <c:v>17</c:v>
                </c:pt>
                <c:pt idx="19">
                  <c:v>18</c:v>
                </c:pt>
                <c:pt idx="20">
                  <c:v>19</c:v>
                </c:pt>
                <c:pt idx="21">
                  <c:v>20</c:v>
                </c:pt>
                <c:pt idx="22">
                  <c:v>21</c:v>
                </c:pt>
                <c:pt idx="23">
                  <c:v>22</c:v>
                </c:pt>
                <c:pt idx="24">
                  <c:v>23</c:v>
                </c:pt>
                <c:pt idx="25">
                  <c:v>24</c:v>
                </c:pt>
              </c:strCache>
            </c:strRef>
          </c:cat>
          <c:val>
            <c:numRef>
              <c:f>Processing!$G$2:$G$27</c:f>
              <c:numCache>
                <c:formatCode>General</c:formatCode>
                <c:ptCount val="26"/>
                <c:pt idx="0">
                  <c:v>#N/A</c:v>
                </c:pt>
                <c:pt idx="1">
                  <c:v>#N/A</c:v>
                </c:pt>
                <c:pt idx="2">
                  <c:v>#N/A</c:v>
                </c:pt>
                <c:pt idx="3">
                  <c:v>#N/A</c:v>
                </c:pt>
                <c:pt idx="4">
                  <c:v>#N/A</c:v>
                </c:pt>
                <c:pt idx="5">
                  <c:v>#N/A</c:v>
                </c:pt>
                <c:pt idx="6">
                  <c:v>11.62</c:v>
                </c:pt>
                <c:pt idx="7">
                  <c:v>12.83</c:v>
                </c:pt>
                <c:pt idx="8">
                  <c:v>10.41</c:v>
                </c:pt>
                <c:pt idx="9">
                  <c:v>-3.39</c:v>
                </c:pt>
                <c:pt idx="10">
                  <c:v>-16.04</c:v>
                </c:pt>
                <c:pt idx="11">
                  <c:v>-3.66</c:v>
                </c:pt>
                <c:pt idx="12">
                  <c:v>3.04</c:v>
                </c:pt>
                <c:pt idx="13">
                  <c:v>7.31</c:v>
                </c:pt>
                <c:pt idx="14">
                  <c:v>2.0099999999999998</c:v>
                </c:pt>
                <c:pt idx="15">
                  <c:v>2.09</c:v>
                </c:pt>
                <c:pt idx="16">
                  <c:v>#N/A</c:v>
                </c:pt>
                <c:pt idx="17">
                  <c:v>#N/A</c:v>
                </c:pt>
                <c:pt idx="18">
                  <c:v>#N/A</c:v>
                </c:pt>
                <c:pt idx="19">
                  <c:v>#N/A</c:v>
                </c:pt>
                <c:pt idx="20">
                  <c:v>#N/A</c:v>
                </c:pt>
                <c:pt idx="21">
                  <c:v>#N/A</c:v>
                </c:pt>
                <c:pt idx="22">
                  <c:v>#N/A</c:v>
                </c:pt>
                <c:pt idx="23">
                  <c:v>#N/A</c:v>
                </c:pt>
                <c:pt idx="24">
                  <c:v>#N/A</c:v>
                </c:pt>
                <c:pt idx="25">
                  <c:v>#N/A</c:v>
                </c:pt>
              </c:numCache>
            </c:numRef>
          </c:val>
          <c:extLst>
            <c:ext xmlns:c16="http://schemas.microsoft.com/office/drawing/2014/chart" uri="{C3380CC4-5D6E-409C-BE32-E72D297353CC}">
              <c16:uniqueId val="{00000003-3131-4863-8405-29655ABF277D}"/>
            </c:ext>
          </c:extLst>
        </c:ser>
        <c:dLbls>
          <c:showLegendKey val="0"/>
          <c:showVal val="0"/>
          <c:showCatName val="0"/>
          <c:showSerName val="0"/>
          <c:showPercent val="0"/>
          <c:showBubbleSize val="0"/>
        </c:dLbls>
        <c:gapWidth val="440"/>
        <c:overlap val="100"/>
        <c:axId val="1648243408"/>
        <c:axId val="1648248688"/>
      </c:barChart>
      <c:lineChart>
        <c:grouping val="standard"/>
        <c:varyColors val="0"/>
        <c:ser>
          <c:idx val="2"/>
          <c:order val="2"/>
          <c:tx>
            <c:strRef>
              <c:f>Processing!$E$1</c:f>
              <c:strCache>
                <c:ptCount val="1"/>
                <c:pt idx="0">
                  <c:v>GDP_Per_Capita_Growth</c:v>
                </c:pt>
              </c:strCache>
            </c:strRef>
          </c:tx>
          <c:spPr>
            <a:ln w="15875" cap="rnd">
              <a:solidFill>
                <a:srgbClr val="FF00FF"/>
              </a:solidFill>
              <a:round/>
            </a:ln>
            <a:effectLst>
              <a:outerShdw blurRad="63500" sx="102000" sy="102000" algn="ctr" rotWithShape="0">
                <a:prstClr val="black">
                  <a:alpha val="40000"/>
                </a:prstClr>
              </a:outerShdw>
            </a:effectLst>
          </c:spPr>
          <c:marker>
            <c:symbol val="none"/>
          </c:marker>
          <c:cat>
            <c:strRef>
              <c:f>Processing!$B$2:$B$27</c:f>
              <c:strCache>
                <c:ptCount val="26"/>
                <c:pt idx="0">
                  <c:v>99</c:v>
                </c:pt>
                <c:pt idx="1">
                  <c:v>00</c:v>
                </c:pt>
                <c:pt idx="2">
                  <c:v>01</c:v>
                </c:pt>
                <c:pt idx="3">
                  <c:v>02</c:v>
                </c:pt>
                <c:pt idx="4">
                  <c:v>03</c:v>
                </c:pt>
                <c:pt idx="5">
                  <c:v>04</c:v>
                </c:pt>
                <c:pt idx="6">
                  <c:v>05</c:v>
                </c:pt>
                <c:pt idx="7">
                  <c:v>06</c:v>
                </c:pt>
                <c:pt idx="8">
                  <c:v>07</c:v>
                </c:pt>
                <c:pt idx="9">
                  <c:v>08</c:v>
                </c:pt>
                <c:pt idx="10">
                  <c:v>09</c:v>
                </c:pt>
                <c:pt idx="11">
                  <c:v>10</c:v>
                </c:pt>
                <c:pt idx="12">
                  <c:v>11</c:v>
                </c:pt>
                <c:pt idx="13">
                  <c:v>12</c:v>
                </c:pt>
                <c:pt idx="14">
                  <c:v>13</c:v>
                </c:pt>
                <c:pt idx="15">
                  <c:v>14</c:v>
                </c:pt>
                <c:pt idx="16">
                  <c:v>15</c:v>
                </c:pt>
                <c:pt idx="17">
                  <c:v>16</c:v>
                </c:pt>
                <c:pt idx="18">
                  <c:v>17</c:v>
                </c:pt>
                <c:pt idx="19">
                  <c:v>18</c:v>
                </c:pt>
                <c:pt idx="20">
                  <c:v>19</c:v>
                </c:pt>
                <c:pt idx="21">
                  <c:v>20</c:v>
                </c:pt>
                <c:pt idx="22">
                  <c:v>21</c:v>
                </c:pt>
                <c:pt idx="23">
                  <c:v>22</c:v>
                </c:pt>
                <c:pt idx="24">
                  <c:v>23</c:v>
                </c:pt>
                <c:pt idx="25">
                  <c:v>24</c:v>
                </c:pt>
              </c:strCache>
            </c:strRef>
          </c:cat>
          <c:val>
            <c:numRef>
              <c:f>Processing!$E$2:$E$27</c:f>
              <c:numCache>
                <c:formatCode>General</c:formatCode>
                <c:ptCount val="26"/>
                <c:pt idx="0">
                  <c:v>3.07</c:v>
                </c:pt>
                <c:pt idx="1">
                  <c:v>6.09</c:v>
                </c:pt>
                <c:pt idx="2">
                  <c:v>7.08</c:v>
                </c:pt>
                <c:pt idx="3">
                  <c:v>8.09</c:v>
                </c:pt>
                <c:pt idx="4">
                  <c:v>9.0500000000000007</c:v>
                </c:pt>
                <c:pt idx="5">
                  <c:v>9.09</c:v>
                </c:pt>
                <c:pt idx="6">
                  <c:v>12.08</c:v>
                </c:pt>
                <c:pt idx="7">
                  <c:v>13.09</c:v>
                </c:pt>
                <c:pt idx="8">
                  <c:v>11.03</c:v>
                </c:pt>
                <c:pt idx="9">
                  <c:v>-2.04</c:v>
                </c:pt>
                <c:pt idx="10">
                  <c:v>-14.06</c:v>
                </c:pt>
                <c:pt idx="11">
                  <c:v>-1.06</c:v>
                </c:pt>
                <c:pt idx="12">
                  <c:v>4.09</c:v>
                </c:pt>
                <c:pt idx="13">
                  <c:v>8.06</c:v>
                </c:pt>
                <c:pt idx="14">
                  <c:v>3.02</c:v>
                </c:pt>
                <c:pt idx="15">
                  <c:v>3.01</c:v>
                </c:pt>
                <c:pt idx="16">
                  <c:v>4.0599999999999996</c:v>
                </c:pt>
                <c:pt idx="17">
                  <c:v>3.05</c:v>
                </c:pt>
                <c:pt idx="18">
                  <c:v>4.03</c:v>
                </c:pt>
                <c:pt idx="19">
                  <c:v>5.01</c:v>
                </c:pt>
                <c:pt idx="20">
                  <c:v>1.04</c:v>
                </c:pt>
                <c:pt idx="21">
                  <c:v>-2.08</c:v>
                </c:pt>
                <c:pt idx="22">
                  <c:v>7.08</c:v>
                </c:pt>
                <c:pt idx="23">
                  <c:v>2.0099999999999998</c:v>
                </c:pt>
                <c:pt idx="24">
                  <c:v>3</c:v>
                </c:pt>
                <c:pt idx="25">
                  <c:v>0.04</c:v>
                </c:pt>
              </c:numCache>
            </c:numRef>
          </c:val>
          <c:smooth val="1"/>
          <c:extLst>
            <c:ext xmlns:c16="http://schemas.microsoft.com/office/drawing/2014/chart" uri="{C3380CC4-5D6E-409C-BE32-E72D297353CC}">
              <c16:uniqueId val="{00000004-3131-4863-8405-29655ABF277D}"/>
            </c:ext>
          </c:extLst>
        </c:ser>
        <c:dLbls>
          <c:showLegendKey val="0"/>
          <c:showVal val="0"/>
          <c:showCatName val="0"/>
          <c:showSerName val="0"/>
          <c:showPercent val="0"/>
          <c:showBubbleSize val="0"/>
        </c:dLbls>
        <c:marker val="1"/>
        <c:smooth val="0"/>
        <c:axId val="1647961264"/>
        <c:axId val="1647965584"/>
      </c:lineChart>
      <c:scatterChart>
        <c:scatterStyle val="lineMarker"/>
        <c:varyColors val="0"/>
        <c:ser>
          <c:idx val="5"/>
          <c:order val="5"/>
          <c:tx>
            <c:strRef>
              <c:f>Processing!$H$1</c:f>
              <c:strCache>
                <c:ptCount val="1"/>
                <c:pt idx="0">
                  <c:v>Cursor E</c:v>
                </c:pt>
              </c:strCache>
            </c:strRef>
          </c:tx>
          <c:spPr>
            <a:ln w="25400" cap="rnd">
              <a:noFill/>
              <a:round/>
            </a:ln>
            <a:effectLst>
              <a:outerShdw blurRad="50800" dist="38100" dir="5400000" algn="t" rotWithShape="0">
                <a:prstClr val="black">
                  <a:alpha val="40000"/>
                </a:prstClr>
              </a:outerShdw>
            </a:effectLst>
          </c:spPr>
          <c:marker>
            <c:symbol val="circle"/>
            <c:size val="10"/>
            <c:spPr>
              <a:solidFill>
                <a:schemeClr val="bg1">
                  <a:lumMod val="75000"/>
                  <a:alpha val="97000"/>
                </a:schemeClr>
              </a:solidFill>
              <a:ln w="22225">
                <a:solidFill>
                  <a:srgbClr val="FF00FF"/>
                </a:solidFill>
              </a:ln>
              <a:effectLst>
                <a:outerShdw blurRad="50800" dist="38100" dir="5400000" algn="t" rotWithShape="0">
                  <a:prstClr val="black">
                    <a:alpha val="40000"/>
                  </a:prstClr>
                </a:outerShdw>
              </a:effectLst>
            </c:spPr>
          </c:marker>
          <c:errBars>
            <c:errDir val="y"/>
            <c:errBarType val="minus"/>
            <c:errValType val="cust"/>
            <c:noEndCap val="0"/>
            <c:plus>
              <c:numLit>
                <c:formatCode>General</c:formatCode>
                <c:ptCount val="1"/>
                <c:pt idx="0">
                  <c:v>1</c:v>
                </c:pt>
              </c:numLit>
            </c:plus>
            <c:minus>
              <c:numRef>
                <c:f>Processing!$H$2:$H$27</c:f>
                <c:numCache>
                  <c:formatCode>General</c:formatCode>
                  <c:ptCount val="26"/>
                  <c:pt idx="0">
                    <c:v>#N/A</c:v>
                  </c:pt>
                  <c:pt idx="1">
                    <c:v>#N/A</c:v>
                  </c:pt>
                  <c:pt idx="2">
                    <c:v>#N/A</c:v>
                  </c:pt>
                  <c:pt idx="3">
                    <c:v>#N/A</c:v>
                  </c:pt>
                  <c:pt idx="4">
                    <c:v>#N/A</c:v>
                  </c:pt>
                  <c:pt idx="5">
                    <c:v>#N/A</c:v>
                  </c:pt>
                  <c:pt idx="6">
                    <c:v>12.08</c:v>
                  </c:pt>
                  <c:pt idx="7">
                    <c:v>13.09</c:v>
                  </c:pt>
                  <c:pt idx="8">
                    <c:v>11.03</c:v>
                  </c:pt>
                  <c:pt idx="9">
                    <c:v>-2.04</c:v>
                  </c:pt>
                  <c:pt idx="10">
                    <c:v>-14.06</c:v>
                  </c:pt>
                  <c:pt idx="11">
                    <c:v>-1.06</c:v>
                  </c:pt>
                  <c:pt idx="12">
                    <c:v>4.09</c:v>
                  </c:pt>
                  <c:pt idx="13">
                    <c:v>8.06</c:v>
                  </c:pt>
                  <c:pt idx="14">
                    <c:v>3.02</c:v>
                  </c:pt>
                  <c:pt idx="15">
                    <c:v>3.01</c:v>
                  </c:pt>
                  <c:pt idx="16">
                    <c:v>#N/A</c:v>
                  </c:pt>
                  <c:pt idx="17">
                    <c:v>#N/A</c:v>
                  </c:pt>
                  <c:pt idx="18">
                    <c:v>#N/A</c:v>
                  </c:pt>
                  <c:pt idx="19">
                    <c:v>#N/A</c:v>
                  </c:pt>
                  <c:pt idx="20">
                    <c:v>#N/A</c:v>
                  </c:pt>
                  <c:pt idx="21">
                    <c:v>#N/A</c:v>
                  </c:pt>
                  <c:pt idx="22">
                    <c:v>#N/A</c:v>
                  </c:pt>
                  <c:pt idx="23">
                    <c:v>#N/A</c:v>
                  </c:pt>
                  <c:pt idx="24">
                    <c:v>#N/A</c:v>
                  </c:pt>
                  <c:pt idx="25">
                    <c:v>#N/A</c:v>
                  </c:pt>
                </c:numCache>
              </c:numRef>
            </c:minus>
            <c:spPr>
              <a:noFill/>
              <a:ln w="15875" cap="flat" cmpd="sng" algn="ctr">
                <a:solidFill>
                  <a:srgbClr val="C00000"/>
                </a:solidFill>
                <a:round/>
              </a:ln>
              <a:effectLst/>
            </c:spPr>
          </c:errBars>
          <c:errBars>
            <c:errDir val="x"/>
            <c:errBarType val="both"/>
            <c:errValType val="fixedVal"/>
            <c:noEndCap val="1"/>
            <c:val val="0"/>
            <c:spPr>
              <a:noFill/>
              <a:ln w="9525" cap="flat" cmpd="sng" algn="ctr">
                <a:solidFill>
                  <a:schemeClr val="tx1">
                    <a:lumMod val="65000"/>
                    <a:lumOff val="35000"/>
                  </a:schemeClr>
                </a:solidFill>
                <a:round/>
              </a:ln>
              <a:effectLst/>
            </c:spPr>
          </c:errBars>
          <c:xVal>
            <c:strRef>
              <c:f>Processing!$B$2:$B$27</c:f>
              <c:strCache>
                <c:ptCount val="26"/>
                <c:pt idx="0">
                  <c:v>99</c:v>
                </c:pt>
                <c:pt idx="1">
                  <c:v>00</c:v>
                </c:pt>
                <c:pt idx="2">
                  <c:v>01</c:v>
                </c:pt>
                <c:pt idx="3">
                  <c:v>02</c:v>
                </c:pt>
                <c:pt idx="4">
                  <c:v>03</c:v>
                </c:pt>
                <c:pt idx="5">
                  <c:v>04</c:v>
                </c:pt>
                <c:pt idx="6">
                  <c:v>05</c:v>
                </c:pt>
                <c:pt idx="7">
                  <c:v>06</c:v>
                </c:pt>
                <c:pt idx="8">
                  <c:v>07</c:v>
                </c:pt>
                <c:pt idx="9">
                  <c:v>08</c:v>
                </c:pt>
                <c:pt idx="10">
                  <c:v>09</c:v>
                </c:pt>
                <c:pt idx="11">
                  <c:v>10</c:v>
                </c:pt>
                <c:pt idx="12">
                  <c:v>11</c:v>
                </c:pt>
                <c:pt idx="13">
                  <c:v>12</c:v>
                </c:pt>
                <c:pt idx="14">
                  <c:v>13</c:v>
                </c:pt>
                <c:pt idx="15">
                  <c:v>14</c:v>
                </c:pt>
                <c:pt idx="16">
                  <c:v>15</c:v>
                </c:pt>
                <c:pt idx="17">
                  <c:v>16</c:v>
                </c:pt>
                <c:pt idx="18">
                  <c:v>17</c:v>
                </c:pt>
                <c:pt idx="19">
                  <c:v>18</c:v>
                </c:pt>
                <c:pt idx="20">
                  <c:v>19</c:v>
                </c:pt>
                <c:pt idx="21">
                  <c:v>20</c:v>
                </c:pt>
                <c:pt idx="22">
                  <c:v>21</c:v>
                </c:pt>
                <c:pt idx="23">
                  <c:v>22</c:v>
                </c:pt>
                <c:pt idx="24">
                  <c:v>23</c:v>
                </c:pt>
                <c:pt idx="25">
                  <c:v>24</c:v>
                </c:pt>
              </c:strCache>
            </c:strRef>
          </c:xVal>
          <c:yVal>
            <c:numRef>
              <c:f>Processing!$H$2:$H$27</c:f>
              <c:numCache>
                <c:formatCode>General</c:formatCode>
                <c:ptCount val="26"/>
                <c:pt idx="0">
                  <c:v>#N/A</c:v>
                </c:pt>
                <c:pt idx="1">
                  <c:v>#N/A</c:v>
                </c:pt>
                <c:pt idx="2">
                  <c:v>#N/A</c:v>
                </c:pt>
                <c:pt idx="3">
                  <c:v>#N/A</c:v>
                </c:pt>
                <c:pt idx="4">
                  <c:v>#N/A</c:v>
                </c:pt>
                <c:pt idx="5">
                  <c:v>#N/A</c:v>
                </c:pt>
                <c:pt idx="6">
                  <c:v>12.08</c:v>
                </c:pt>
                <c:pt idx="7">
                  <c:v>13.09</c:v>
                </c:pt>
                <c:pt idx="8">
                  <c:v>11.03</c:v>
                </c:pt>
                <c:pt idx="9">
                  <c:v>-2.04</c:v>
                </c:pt>
                <c:pt idx="10">
                  <c:v>-14.06</c:v>
                </c:pt>
                <c:pt idx="11">
                  <c:v>-1.06</c:v>
                </c:pt>
                <c:pt idx="12">
                  <c:v>4.09</c:v>
                </c:pt>
                <c:pt idx="13">
                  <c:v>8.06</c:v>
                </c:pt>
                <c:pt idx="14">
                  <c:v>3.02</c:v>
                </c:pt>
                <c:pt idx="15">
                  <c:v>3.01</c:v>
                </c:pt>
                <c:pt idx="16">
                  <c:v>#N/A</c:v>
                </c:pt>
                <c:pt idx="17">
                  <c:v>#N/A</c:v>
                </c:pt>
                <c:pt idx="18">
                  <c:v>#N/A</c:v>
                </c:pt>
                <c:pt idx="19">
                  <c:v>#N/A</c:v>
                </c:pt>
                <c:pt idx="20">
                  <c:v>#N/A</c:v>
                </c:pt>
                <c:pt idx="21">
                  <c:v>#N/A</c:v>
                </c:pt>
                <c:pt idx="22">
                  <c:v>#N/A</c:v>
                </c:pt>
                <c:pt idx="23">
                  <c:v>#N/A</c:v>
                </c:pt>
                <c:pt idx="24">
                  <c:v>#N/A</c:v>
                </c:pt>
                <c:pt idx="25">
                  <c:v>#N/A</c:v>
                </c:pt>
              </c:numCache>
            </c:numRef>
          </c:yVal>
          <c:smooth val="0"/>
          <c:extLst>
            <c:ext xmlns:c16="http://schemas.microsoft.com/office/drawing/2014/chart" uri="{C3380CC4-5D6E-409C-BE32-E72D297353CC}">
              <c16:uniqueId val="{00000005-3131-4863-8405-29655ABF277D}"/>
            </c:ext>
          </c:extLst>
        </c:ser>
        <c:ser>
          <c:idx val="6"/>
          <c:order val="6"/>
          <c:tx>
            <c:strRef>
              <c:f>Processing!$I$1</c:f>
              <c:strCache>
                <c:ptCount val="1"/>
                <c:pt idx="0">
                  <c:v>Marker</c:v>
                </c:pt>
              </c:strCache>
            </c:strRef>
          </c:tx>
          <c:spPr>
            <a:ln w="25400" cap="rnd">
              <a:noFill/>
              <a:round/>
            </a:ln>
            <a:effectLst/>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3131-4863-8405-29655ABF277D}"/>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3131-4863-8405-29655ABF277D}"/>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3131-4863-8405-29655ABF277D}"/>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3131-4863-8405-29655ABF277D}"/>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3131-4863-8405-29655ABF277D}"/>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3131-4863-8405-29655ABF277D}"/>
                </c:ext>
              </c:extLst>
            </c:dLbl>
            <c:dLbl>
              <c:idx val="6"/>
              <c:tx>
                <c:rich>
                  <a:bodyPr/>
                  <a:lstStyle/>
                  <a:p>
                    <a:fld id="{6C7CB8C1-50B8-4871-8A3B-0F9D75FB107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3131-4863-8405-29655ABF277D}"/>
                </c:ext>
              </c:extLst>
            </c:dLbl>
            <c:dLbl>
              <c:idx val="7"/>
              <c:tx>
                <c:rich>
                  <a:bodyPr/>
                  <a:lstStyle/>
                  <a:p>
                    <a:fld id="{3409D99B-7BE0-4769-B472-627835746C3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3131-4863-8405-29655ABF277D}"/>
                </c:ext>
              </c:extLst>
            </c:dLbl>
            <c:dLbl>
              <c:idx val="8"/>
              <c:tx>
                <c:rich>
                  <a:bodyPr/>
                  <a:lstStyle/>
                  <a:p>
                    <a:fld id="{A0651414-C0D3-490E-AD1C-49AA76BB70E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3131-4863-8405-29655ABF277D}"/>
                </c:ext>
              </c:extLst>
            </c:dLbl>
            <c:dLbl>
              <c:idx val="9"/>
              <c:tx>
                <c:rich>
                  <a:bodyPr/>
                  <a:lstStyle/>
                  <a:p>
                    <a:fld id="{6933B3AF-DA2A-49B5-BDCD-F3D6953C410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3131-4863-8405-29655ABF277D}"/>
                </c:ext>
              </c:extLst>
            </c:dLbl>
            <c:dLbl>
              <c:idx val="10"/>
              <c:tx>
                <c:rich>
                  <a:bodyPr/>
                  <a:lstStyle/>
                  <a:p>
                    <a:fld id="{4EB4B168-730B-4951-B2BB-74E41921037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3131-4863-8405-29655ABF277D}"/>
                </c:ext>
              </c:extLst>
            </c:dLbl>
            <c:dLbl>
              <c:idx val="11"/>
              <c:tx>
                <c:rich>
                  <a:bodyPr/>
                  <a:lstStyle/>
                  <a:p>
                    <a:fld id="{DFCA2D73-89A5-4426-A00D-7864A179DC1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3131-4863-8405-29655ABF277D}"/>
                </c:ext>
              </c:extLst>
            </c:dLbl>
            <c:dLbl>
              <c:idx val="12"/>
              <c:tx>
                <c:rich>
                  <a:bodyPr/>
                  <a:lstStyle/>
                  <a:p>
                    <a:fld id="{AF42F2C6-56F7-49B1-A763-12611B6691F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3131-4863-8405-29655ABF277D}"/>
                </c:ext>
              </c:extLst>
            </c:dLbl>
            <c:dLbl>
              <c:idx val="13"/>
              <c:tx>
                <c:rich>
                  <a:bodyPr/>
                  <a:lstStyle/>
                  <a:p>
                    <a:fld id="{4B397CE4-6513-41D8-B657-B568C77491E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3131-4863-8405-29655ABF277D}"/>
                </c:ext>
              </c:extLst>
            </c:dLbl>
            <c:dLbl>
              <c:idx val="14"/>
              <c:tx>
                <c:rich>
                  <a:bodyPr/>
                  <a:lstStyle/>
                  <a:p>
                    <a:fld id="{0E8B281E-27B6-46B4-8541-D550BCE66BE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3131-4863-8405-29655ABF277D}"/>
                </c:ext>
              </c:extLst>
            </c:dLbl>
            <c:dLbl>
              <c:idx val="15"/>
              <c:tx>
                <c:rich>
                  <a:bodyPr/>
                  <a:lstStyle/>
                  <a:p>
                    <a:fld id="{C2C1D57E-2B19-4416-9282-D825B590E21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3131-4863-8405-29655ABF277D}"/>
                </c:ext>
              </c:extLst>
            </c:dLbl>
            <c:dLbl>
              <c:idx val="1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3131-4863-8405-29655ABF277D}"/>
                </c:ext>
              </c:extLst>
            </c:dLbl>
            <c:dLbl>
              <c:idx val="1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3131-4863-8405-29655ABF277D}"/>
                </c:ext>
              </c:extLst>
            </c:dLbl>
            <c:dLbl>
              <c:idx val="18"/>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3131-4863-8405-29655ABF277D}"/>
                </c:ext>
              </c:extLst>
            </c:dLbl>
            <c:dLbl>
              <c:idx val="1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3131-4863-8405-29655ABF277D}"/>
                </c:ext>
              </c:extLst>
            </c:dLbl>
            <c:dLbl>
              <c:idx val="2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3131-4863-8405-29655ABF277D}"/>
                </c:ext>
              </c:extLst>
            </c:dLbl>
            <c:dLbl>
              <c:idx val="2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3131-4863-8405-29655ABF277D}"/>
                </c:ext>
              </c:extLst>
            </c:dLbl>
            <c:dLbl>
              <c:idx val="2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3131-4863-8405-29655ABF277D}"/>
                </c:ext>
              </c:extLst>
            </c:dLbl>
            <c:dLbl>
              <c:idx val="2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3131-4863-8405-29655ABF277D}"/>
                </c:ext>
              </c:extLst>
            </c:dLbl>
            <c:dLbl>
              <c:idx val="2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3131-4863-8405-29655ABF277D}"/>
                </c:ext>
              </c:extLst>
            </c:dLbl>
            <c:dLbl>
              <c:idx val="2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3131-4863-8405-29655ABF277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40000"/>
                        <a:lumOff val="60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strRef>
              <c:f>Processing!$B$2:$B$27</c:f>
              <c:strCache>
                <c:ptCount val="26"/>
                <c:pt idx="0">
                  <c:v>99</c:v>
                </c:pt>
                <c:pt idx="1">
                  <c:v>00</c:v>
                </c:pt>
                <c:pt idx="2">
                  <c:v>01</c:v>
                </c:pt>
                <c:pt idx="3">
                  <c:v>02</c:v>
                </c:pt>
                <c:pt idx="4">
                  <c:v>03</c:v>
                </c:pt>
                <c:pt idx="5">
                  <c:v>04</c:v>
                </c:pt>
                <c:pt idx="6">
                  <c:v>05</c:v>
                </c:pt>
                <c:pt idx="7">
                  <c:v>06</c:v>
                </c:pt>
                <c:pt idx="8">
                  <c:v>07</c:v>
                </c:pt>
                <c:pt idx="9">
                  <c:v>08</c:v>
                </c:pt>
                <c:pt idx="10">
                  <c:v>09</c:v>
                </c:pt>
                <c:pt idx="11">
                  <c:v>10</c:v>
                </c:pt>
                <c:pt idx="12">
                  <c:v>11</c:v>
                </c:pt>
                <c:pt idx="13">
                  <c:v>12</c:v>
                </c:pt>
                <c:pt idx="14">
                  <c:v>13</c:v>
                </c:pt>
                <c:pt idx="15">
                  <c:v>14</c:v>
                </c:pt>
                <c:pt idx="16">
                  <c:v>15</c:v>
                </c:pt>
                <c:pt idx="17">
                  <c:v>16</c:v>
                </c:pt>
                <c:pt idx="18">
                  <c:v>17</c:v>
                </c:pt>
                <c:pt idx="19">
                  <c:v>18</c:v>
                </c:pt>
                <c:pt idx="20">
                  <c:v>19</c:v>
                </c:pt>
                <c:pt idx="21">
                  <c:v>20</c:v>
                </c:pt>
                <c:pt idx="22">
                  <c:v>21</c:v>
                </c:pt>
                <c:pt idx="23">
                  <c:v>22</c:v>
                </c:pt>
                <c:pt idx="24">
                  <c:v>23</c:v>
                </c:pt>
                <c:pt idx="25">
                  <c:v>24</c:v>
                </c:pt>
              </c:strCache>
            </c:strRef>
          </c:xVal>
          <c:yVal>
            <c:numRef>
              <c:f>Processing!$I$2:$I$27</c:f>
              <c:numCache>
                <c:formatCode>General</c:formatCode>
                <c:ptCount val="26"/>
                <c:pt idx="0">
                  <c:v>#N/A</c:v>
                </c:pt>
                <c:pt idx="1">
                  <c:v>#N/A</c:v>
                </c:pt>
                <c:pt idx="2">
                  <c:v>#N/A</c:v>
                </c:pt>
                <c:pt idx="3">
                  <c:v>#N/A</c:v>
                </c:pt>
                <c:pt idx="4">
                  <c:v>#N/A</c:v>
                </c:pt>
                <c:pt idx="5">
                  <c:v>#N/A</c:v>
                </c:pt>
                <c:pt idx="6">
                  <c:v>12.143599999999999</c:v>
                </c:pt>
                <c:pt idx="7">
                  <c:v>13.3536</c:v>
                </c:pt>
                <c:pt idx="8">
                  <c:v>10.9336</c:v>
                </c:pt>
                <c:pt idx="9">
                  <c:v>-2.8664000000000001</c:v>
                </c:pt>
                <c:pt idx="10">
                  <c:v>-15.516399999999999</c:v>
                </c:pt>
                <c:pt idx="11">
                  <c:v>-3.1364000000000001</c:v>
                </c:pt>
                <c:pt idx="12">
                  <c:v>3.5636000000000001</c:v>
                </c:pt>
                <c:pt idx="13">
                  <c:v>7.8335999999999997</c:v>
                </c:pt>
                <c:pt idx="14">
                  <c:v>2.5335999999999999</c:v>
                </c:pt>
                <c:pt idx="15">
                  <c:v>2.6135999999999999</c:v>
                </c:pt>
                <c:pt idx="16">
                  <c:v>#N/A</c:v>
                </c:pt>
                <c:pt idx="17">
                  <c:v>#N/A</c:v>
                </c:pt>
                <c:pt idx="18">
                  <c:v>#N/A</c:v>
                </c:pt>
                <c:pt idx="19">
                  <c:v>#N/A</c:v>
                </c:pt>
                <c:pt idx="20">
                  <c:v>#N/A</c:v>
                </c:pt>
                <c:pt idx="21">
                  <c:v>#N/A</c:v>
                </c:pt>
                <c:pt idx="22">
                  <c:v>#N/A</c:v>
                </c:pt>
                <c:pt idx="23">
                  <c:v>#N/A</c:v>
                </c:pt>
                <c:pt idx="24">
                  <c:v>#N/A</c:v>
                </c:pt>
                <c:pt idx="25">
                  <c:v>#N/A</c:v>
                </c:pt>
              </c:numCache>
            </c:numRef>
          </c:yVal>
          <c:smooth val="0"/>
          <c:extLst>
            <c:ext xmlns:c15="http://schemas.microsoft.com/office/drawing/2012/chart" uri="{02D57815-91ED-43cb-92C2-25804820EDAC}">
              <c15:datalabelsRange>
                <c15:f>Processing!$J$2:$J$27</c15:f>
                <c15:dlblRangeCache>
                  <c:ptCount val="26"/>
                  <c:pt idx="0">
                    <c:v>#N/A</c:v>
                  </c:pt>
                  <c:pt idx="1">
                    <c:v>#N/A</c:v>
                  </c:pt>
                  <c:pt idx="2">
                    <c:v>#N/A</c:v>
                  </c:pt>
                  <c:pt idx="3">
                    <c:v>#N/A</c:v>
                  </c:pt>
                  <c:pt idx="4">
                    <c:v>#N/A</c:v>
                  </c:pt>
                  <c:pt idx="5">
                    <c:v>#N/A</c:v>
                  </c:pt>
                  <c:pt idx="6">
                    <c:v>12</c:v>
                  </c:pt>
                  <c:pt idx="7">
                    <c:v>13</c:v>
                  </c:pt>
                  <c:pt idx="8">
                    <c:v>10</c:v>
                  </c:pt>
                  <c:pt idx="9">
                    <c:v>-3.39</c:v>
                  </c:pt>
                  <c:pt idx="10">
                    <c:v>-16.04</c:v>
                  </c:pt>
                  <c:pt idx="11">
                    <c:v>-3.66</c:v>
                  </c:pt>
                  <c:pt idx="12">
                    <c:v>3</c:v>
                  </c:pt>
                  <c:pt idx="13">
                    <c:v>7</c:v>
                  </c:pt>
                  <c:pt idx="14">
                    <c:v>2</c:v>
                  </c:pt>
                  <c:pt idx="15">
                    <c:v>2</c:v>
                  </c:pt>
                  <c:pt idx="16">
                    <c:v>#N/A</c:v>
                  </c:pt>
                  <c:pt idx="17">
                    <c:v>#N/A</c:v>
                  </c:pt>
                  <c:pt idx="18">
                    <c:v>#N/A</c:v>
                  </c:pt>
                  <c:pt idx="19">
                    <c:v>#N/A</c:v>
                  </c:pt>
                  <c:pt idx="20">
                    <c:v>#N/A</c:v>
                  </c:pt>
                  <c:pt idx="21">
                    <c:v>#N/A</c:v>
                  </c:pt>
                  <c:pt idx="22">
                    <c:v>#N/A</c:v>
                  </c:pt>
                  <c:pt idx="23">
                    <c:v>#N/A</c:v>
                  </c:pt>
                  <c:pt idx="24">
                    <c:v>#N/A</c:v>
                  </c:pt>
                  <c:pt idx="25">
                    <c:v>#N/A</c:v>
                  </c:pt>
                </c15:dlblRangeCache>
              </c15:datalabelsRange>
            </c:ext>
            <c:ext xmlns:c16="http://schemas.microsoft.com/office/drawing/2014/chart" uri="{C3380CC4-5D6E-409C-BE32-E72D297353CC}">
              <c16:uniqueId val="{00000020-3131-4863-8405-29655ABF277D}"/>
            </c:ext>
          </c:extLst>
        </c:ser>
        <c:dLbls>
          <c:showLegendKey val="0"/>
          <c:showVal val="0"/>
          <c:showCatName val="0"/>
          <c:showSerName val="0"/>
          <c:showPercent val="0"/>
          <c:showBubbleSize val="0"/>
        </c:dLbls>
        <c:axId val="1648243408"/>
        <c:axId val="1648248688"/>
      </c:scatterChart>
      <c:catAx>
        <c:axId val="164796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40000"/>
                    <a:lumOff val="60000"/>
                  </a:schemeClr>
                </a:solidFill>
                <a:latin typeface="+mn-lt"/>
                <a:ea typeface="+mn-ea"/>
                <a:cs typeface="+mn-cs"/>
              </a:defRPr>
            </a:pPr>
            <a:endParaRPr lang="en-US"/>
          </a:p>
        </c:txPr>
        <c:crossAx val="1647965584"/>
        <c:crosses val="autoZero"/>
        <c:auto val="1"/>
        <c:lblAlgn val="ctr"/>
        <c:lblOffset val="100"/>
        <c:noMultiLvlLbl val="0"/>
      </c:catAx>
      <c:valAx>
        <c:axId val="1647965584"/>
        <c:scaling>
          <c:orientation val="minMax"/>
        </c:scaling>
        <c:delete val="0"/>
        <c:axPos val="l"/>
        <c:majorGridlines>
          <c:spPr>
            <a:ln w="9525" cap="flat" cmpd="sng" algn="ctr">
              <a:solidFill>
                <a:srgbClr val="6372A4">
                  <a:alpha val="30000"/>
                </a:srgb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accent1">
                    <a:lumMod val="40000"/>
                    <a:lumOff val="60000"/>
                  </a:schemeClr>
                </a:solidFill>
                <a:latin typeface="+mn-lt"/>
                <a:ea typeface="+mn-ea"/>
                <a:cs typeface="+mn-cs"/>
              </a:defRPr>
            </a:pPr>
            <a:endParaRPr lang="en-US"/>
          </a:p>
        </c:txPr>
        <c:crossAx val="1647961264"/>
        <c:crosses val="autoZero"/>
        <c:crossBetween val="between"/>
      </c:valAx>
      <c:valAx>
        <c:axId val="1648248688"/>
        <c:scaling>
          <c:orientation val="minMax"/>
        </c:scaling>
        <c:delete val="1"/>
        <c:axPos val="r"/>
        <c:numFmt formatCode="General" sourceLinked="1"/>
        <c:majorTickMark val="out"/>
        <c:minorTickMark val="none"/>
        <c:tickLblPos val="nextTo"/>
        <c:crossAx val="1648243408"/>
        <c:crosses val="max"/>
        <c:crossBetween val="between"/>
      </c:valAx>
      <c:catAx>
        <c:axId val="1648243408"/>
        <c:scaling>
          <c:orientation val="minMax"/>
        </c:scaling>
        <c:delete val="1"/>
        <c:axPos val="b"/>
        <c:numFmt formatCode="General" sourceLinked="1"/>
        <c:majorTickMark val="out"/>
        <c:minorTickMark val="none"/>
        <c:tickLblPos val="nextTo"/>
        <c:crossAx val="164824868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r>
              <a:rPr lang="en-US" sz="1600">
                <a:solidFill>
                  <a:schemeClr val="bg1"/>
                </a:solidFill>
              </a:rPr>
              <a:t>Sector Composition</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endParaRPr lang="en-US"/>
        </a:p>
      </c:txPr>
    </c:title>
    <c:autoTitleDeleted val="0"/>
    <c:plotArea>
      <c:layout/>
      <c:areaChart>
        <c:grouping val="stacked"/>
        <c:varyColors val="0"/>
        <c:ser>
          <c:idx val="0"/>
          <c:order val="0"/>
          <c:tx>
            <c:strRef>
              <c:f>Processing!$AB$1</c:f>
              <c:strCache>
                <c:ptCount val="1"/>
                <c:pt idx="0">
                  <c:v>Sum of Agriculture</c:v>
                </c:pt>
              </c:strCache>
            </c:strRef>
          </c:tx>
          <c:spPr>
            <a:solidFill>
              <a:srgbClr val="FF00FF"/>
            </a:solidFill>
            <a:ln>
              <a:noFill/>
            </a:ln>
            <a:effectLst/>
          </c:spPr>
          <c:cat>
            <c:numRef>
              <c:f>Processing!$A$2:$A$27</c:f>
              <c:numCache>
                <c:formatCode>0</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Processing!$AB$2:$AB$27</c:f>
              <c:numCache>
                <c:formatCode>General</c:formatCode>
                <c:ptCount val="26"/>
                <c:pt idx="0">
                  <c:v>4.5</c:v>
                </c:pt>
                <c:pt idx="1">
                  <c:v>4.09</c:v>
                </c:pt>
                <c:pt idx="2">
                  <c:v>4.07</c:v>
                </c:pt>
                <c:pt idx="3">
                  <c:v>4.07</c:v>
                </c:pt>
                <c:pt idx="4">
                  <c:v>4.03</c:v>
                </c:pt>
                <c:pt idx="5">
                  <c:v>4.05</c:v>
                </c:pt>
                <c:pt idx="6">
                  <c:v>4.0199999999999996</c:v>
                </c:pt>
                <c:pt idx="7">
                  <c:v>3.06</c:v>
                </c:pt>
                <c:pt idx="8">
                  <c:v>3.03</c:v>
                </c:pt>
                <c:pt idx="9">
                  <c:v>3.01</c:v>
                </c:pt>
                <c:pt idx="10">
                  <c:v>3.04</c:v>
                </c:pt>
                <c:pt idx="11">
                  <c:v>4.01</c:v>
                </c:pt>
                <c:pt idx="12">
                  <c:v>4.03</c:v>
                </c:pt>
                <c:pt idx="13">
                  <c:v>4.05</c:v>
                </c:pt>
                <c:pt idx="14">
                  <c:v>4.01</c:v>
                </c:pt>
                <c:pt idx="15">
                  <c:v>3.07</c:v>
                </c:pt>
                <c:pt idx="16">
                  <c:v>3.09</c:v>
                </c:pt>
                <c:pt idx="17">
                  <c:v>3.09</c:v>
                </c:pt>
                <c:pt idx="18">
                  <c:v>3.09</c:v>
                </c:pt>
                <c:pt idx="19">
                  <c:v>3.07</c:v>
                </c:pt>
                <c:pt idx="20">
                  <c:v>3.09</c:v>
                </c:pt>
                <c:pt idx="21">
                  <c:v>4.01</c:v>
                </c:pt>
                <c:pt idx="22">
                  <c:v>4.0199999999999996</c:v>
                </c:pt>
                <c:pt idx="23">
                  <c:v>4.03</c:v>
                </c:pt>
                <c:pt idx="24">
                  <c:v>3.09</c:v>
                </c:pt>
                <c:pt idx="25">
                  <c:v>4.01</c:v>
                </c:pt>
              </c:numCache>
            </c:numRef>
          </c:val>
          <c:extLst>
            <c:ext xmlns:c16="http://schemas.microsoft.com/office/drawing/2014/chart" uri="{C3380CC4-5D6E-409C-BE32-E72D297353CC}">
              <c16:uniqueId val="{00000000-D585-4006-9BF5-4B783EBFD38B}"/>
            </c:ext>
          </c:extLst>
        </c:ser>
        <c:ser>
          <c:idx val="1"/>
          <c:order val="1"/>
          <c:tx>
            <c:strRef>
              <c:f>Processing!$AC$1</c:f>
              <c:strCache>
                <c:ptCount val="1"/>
                <c:pt idx="0">
                  <c:v>Sum of Industry</c:v>
                </c:pt>
              </c:strCache>
            </c:strRef>
          </c:tx>
          <c:spPr>
            <a:solidFill>
              <a:srgbClr val="0575F1"/>
            </a:solidFill>
            <a:ln>
              <a:noFill/>
            </a:ln>
            <a:effectLst/>
          </c:spPr>
          <c:cat>
            <c:numRef>
              <c:f>Processing!$A$2:$A$27</c:f>
              <c:numCache>
                <c:formatCode>0</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Processing!$AC$2:$AC$27</c:f>
              <c:numCache>
                <c:formatCode>General</c:formatCode>
                <c:ptCount val="26"/>
                <c:pt idx="0">
                  <c:v>23.08</c:v>
                </c:pt>
                <c:pt idx="1">
                  <c:v>23.05</c:v>
                </c:pt>
                <c:pt idx="2">
                  <c:v>23.01</c:v>
                </c:pt>
                <c:pt idx="3">
                  <c:v>22.08</c:v>
                </c:pt>
                <c:pt idx="4">
                  <c:v>22.01</c:v>
                </c:pt>
                <c:pt idx="5">
                  <c:v>21.05</c:v>
                </c:pt>
                <c:pt idx="6">
                  <c:v>21.03</c:v>
                </c:pt>
                <c:pt idx="7">
                  <c:v>20.09</c:v>
                </c:pt>
                <c:pt idx="8">
                  <c:v>20.059999999999999</c:v>
                </c:pt>
                <c:pt idx="9">
                  <c:v>20.079999999999998</c:v>
                </c:pt>
                <c:pt idx="10">
                  <c:v>20.02</c:v>
                </c:pt>
                <c:pt idx="11">
                  <c:v>22.06</c:v>
                </c:pt>
                <c:pt idx="12">
                  <c:v>24</c:v>
                </c:pt>
                <c:pt idx="13">
                  <c:v>24.03</c:v>
                </c:pt>
                <c:pt idx="14">
                  <c:v>23.08</c:v>
                </c:pt>
                <c:pt idx="15">
                  <c:v>23.04</c:v>
                </c:pt>
                <c:pt idx="16">
                  <c:v>23.03</c:v>
                </c:pt>
                <c:pt idx="17">
                  <c:v>24.01</c:v>
                </c:pt>
                <c:pt idx="18">
                  <c:v>22.04</c:v>
                </c:pt>
                <c:pt idx="19">
                  <c:v>22.09</c:v>
                </c:pt>
                <c:pt idx="20">
                  <c:v>22.01</c:v>
                </c:pt>
                <c:pt idx="21">
                  <c:v>22.05</c:v>
                </c:pt>
                <c:pt idx="22">
                  <c:v>23.05</c:v>
                </c:pt>
                <c:pt idx="23">
                  <c:v>22.08</c:v>
                </c:pt>
                <c:pt idx="24">
                  <c:v>21.05</c:v>
                </c:pt>
                <c:pt idx="25">
                  <c:v>21.02</c:v>
                </c:pt>
              </c:numCache>
            </c:numRef>
          </c:val>
          <c:extLst>
            <c:ext xmlns:c16="http://schemas.microsoft.com/office/drawing/2014/chart" uri="{C3380CC4-5D6E-409C-BE32-E72D297353CC}">
              <c16:uniqueId val="{00000001-D585-4006-9BF5-4B783EBFD38B}"/>
            </c:ext>
          </c:extLst>
        </c:ser>
        <c:ser>
          <c:idx val="2"/>
          <c:order val="2"/>
          <c:tx>
            <c:strRef>
              <c:f>Processing!$AD$1</c:f>
              <c:strCache>
                <c:ptCount val="1"/>
                <c:pt idx="0">
                  <c:v>Sum of Services</c:v>
                </c:pt>
              </c:strCache>
            </c:strRef>
          </c:tx>
          <c:spPr>
            <a:solidFill>
              <a:srgbClr val="4641D1">
                <a:alpha val="76000"/>
              </a:srgbClr>
            </a:solidFill>
            <a:ln>
              <a:noFill/>
            </a:ln>
            <a:effectLst/>
          </c:spPr>
          <c:cat>
            <c:numRef>
              <c:f>Processing!$A$2:$A$27</c:f>
              <c:numCache>
                <c:formatCode>0</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Processing!$AD$2:$AD$27</c:f>
              <c:numCache>
                <c:formatCode>General</c:formatCode>
                <c:ptCount val="26"/>
                <c:pt idx="0">
                  <c:v>71.069999999999993</c:v>
                </c:pt>
                <c:pt idx="1">
                  <c:v>71.06</c:v>
                </c:pt>
                <c:pt idx="2">
                  <c:v>72.02</c:v>
                </c:pt>
                <c:pt idx="3">
                  <c:v>72.05</c:v>
                </c:pt>
                <c:pt idx="4">
                  <c:v>73.06</c:v>
                </c:pt>
                <c:pt idx="5">
                  <c:v>74</c:v>
                </c:pt>
                <c:pt idx="6">
                  <c:v>74.05</c:v>
                </c:pt>
                <c:pt idx="7">
                  <c:v>75.05</c:v>
                </c:pt>
                <c:pt idx="8">
                  <c:v>76.010000000000005</c:v>
                </c:pt>
                <c:pt idx="9">
                  <c:v>76.010000000000005</c:v>
                </c:pt>
                <c:pt idx="10">
                  <c:v>76.040000000000006</c:v>
                </c:pt>
                <c:pt idx="11">
                  <c:v>73.03</c:v>
                </c:pt>
                <c:pt idx="12">
                  <c:v>71.069999999999993</c:v>
                </c:pt>
                <c:pt idx="13">
                  <c:v>71.02</c:v>
                </c:pt>
                <c:pt idx="14">
                  <c:v>72.010000000000005</c:v>
                </c:pt>
                <c:pt idx="15">
                  <c:v>72.09</c:v>
                </c:pt>
                <c:pt idx="16">
                  <c:v>72.08</c:v>
                </c:pt>
                <c:pt idx="17">
                  <c:v>72</c:v>
                </c:pt>
                <c:pt idx="18">
                  <c:v>73.069999999999993</c:v>
                </c:pt>
                <c:pt idx="19">
                  <c:v>73.040000000000006</c:v>
                </c:pt>
                <c:pt idx="20">
                  <c:v>74</c:v>
                </c:pt>
                <c:pt idx="21">
                  <c:v>73.040000000000006</c:v>
                </c:pt>
                <c:pt idx="22">
                  <c:v>72.03</c:v>
                </c:pt>
                <c:pt idx="23">
                  <c:v>72.09</c:v>
                </c:pt>
                <c:pt idx="24">
                  <c:v>74.06</c:v>
                </c:pt>
                <c:pt idx="25">
                  <c:v>74.069999999999993</c:v>
                </c:pt>
              </c:numCache>
            </c:numRef>
          </c:val>
          <c:extLst>
            <c:ext xmlns:c16="http://schemas.microsoft.com/office/drawing/2014/chart" uri="{C3380CC4-5D6E-409C-BE32-E72D297353CC}">
              <c16:uniqueId val="{00000002-D585-4006-9BF5-4B783EBFD38B}"/>
            </c:ext>
          </c:extLst>
        </c:ser>
        <c:dLbls>
          <c:showLegendKey val="0"/>
          <c:showVal val="0"/>
          <c:showCatName val="0"/>
          <c:showSerName val="0"/>
          <c:showPercent val="0"/>
          <c:showBubbleSize val="0"/>
        </c:dLbls>
        <c:axId val="1027890095"/>
        <c:axId val="1027881455"/>
      </c:areaChart>
      <c:catAx>
        <c:axId val="1027890095"/>
        <c:scaling>
          <c:orientation val="minMax"/>
        </c:scaling>
        <c:delete val="0"/>
        <c:axPos val="b"/>
        <c:numFmt formatCode="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4">
                    <a:lumMod val="60000"/>
                    <a:lumOff val="40000"/>
                  </a:schemeClr>
                </a:solidFill>
                <a:latin typeface="+mn-lt"/>
                <a:ea typeface="+mn-ea"/>
                <a:cs typeface="+mn-cs"/>
              </a:defRPr>
            </a:pPr>
            <a:endParaRPr lang="en-US"/>
          </a:p>
        </c:txPr>
        <c:crossAx val="1027881455"/>
        <c:crosses val="autoZero"/>
        <c:auto val="1"/>
        <c:lblAlgn val="ctr"/>
        <c:lblOffset val="100"/>
        <c:noMultiLvlLbl val="0"/>
      </c:catAx>
      <c:valAx>
        <c:axId val="1027881455"/>
        <c:scaling>
          <c:orientation val="minMax"/>
          <c:max val="105"/>
          <c:min val="0"/>
        </c:scaling>
        <c:delete val="0"/>
        <c:axPos val="l"/>
        <c:majorGridlines>
          <c:spPr>
            <a:ln w="9525" cap="flat" cmpd="sng" algn="ctr">
              <a:solidFill>
                <a:schemeClr val="tx1">
                  <a:lumMod val="65000"/>
                  <a:lumOff val="35000"/>
                  <a:alpha val="7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4">
                    <a:lumMod val="60000"/>
                    <a:lumOff val="40000"/>
                  </a:schemeClr>
                </a:solidFill>
                <a:latin typeface="+mn-lt"/>
                <a:ea typeface="+mn-ea"/>
                <a:cs typeface="+mn-cs"/>
              </a:defRPr>
            </a:pPr>
            <a:endParaRPr lang="en-US"/>
          </a:p>
        </c:txPr>
        <c:crossAx val="1027890095"/>
        <c:crosses val="autoZero"/>
        <c:crossBetween val="midCat"/>
        <c:majorUnit val="10"/>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Processing!$AH$1</c:f>
              <c:strCache>
                <c:ptCount val="1"/>
                <c:pt idx="0">
                  <c:v>Value</c:v>
                </c:pt>
              </c:strCache>
            </c:strRef>
          </c:tx>
          <c:spPr>
            <a:ln>
              <a:noFill/>
            </a:ln>
          </c:spPr>
          <c:dPt>
            <c:idx val="0"/>
            <c:bubble3D val="0"/>
            <c:explosion val="4"/>
            <c:spPr>
              <a:solidFill>
                <a:srgbClr val="FF00FF"/>
              </a:solidFill>
              <a:ln w="19050">
                <a:noFill/>
              </a:ln>
              <a:effectLst/>
            </c:spPr>
            <c:extLst>
              <c:ext xmlns:c16="http://schemas.microsoft.com/office/drawing/2014/chart" uri="{C3380CC4-5D6E-409C-BE32-E72D297353CC}">
                <c16:uniqueId val="{00000001-713A-4974-9F6F-5432389FAC87}"/>
              </c:ext>
            </c:extLst>
          </c:dPt>
          <c:dPt>
            <c:idx val="1"/>
            <c:bubble3D val="0"/>
            <c:explosion val="3"/>
            <c:spPr>
              <a:solidFill>
                <a:srgbClr val="0575F1"/>
              </a:solidFill>
              <a:ln w="19050">
                <a:noFill/>
              </a:ln>
              <a:effectLst/>
            </c:spPr>
            <c:extLst>
              <c:ext xmlns:c16="http://schemas.microsoft.com/office/drawing/2014/chart" uri="{C3380CC4-5D6E-409C-BE32-E72D297353CC}">
                <c16:uniqueId val="{00000003-713A-4974-9F6F-5432389FAC87}"/>
              </c:ext>
            </c:extLst>
          </c:dPt>
          <c:dPt>
            <c:idx val="2"/>
            <c:bubble3D val="0"/>
            <c:explosion val="6"/>
            <c:spPr>
              <a:solidFill>
                <a:srgbClr val="4641D1">
                  <a:alpha val="90000"/>
                </a:srgbClr>
              </a:solidFill>
              <a:ln w="19050">
                <a:noFill/>
              </a:ln>
              <a:effectLst/>
            </c:spPr>
            <c:extLst>
              <c:ext xmlns:c16="http://schemas.microsoft.com/office/drawing/2014/chart" uri="{C3380CC4-5D6E-409C-BE32-E72D297353CC}">
                <c16:uniqueId val="{00000005-713A-4974-9F6F-5432389FAC87}"/>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Processing!$AG$2:$AG$4</c:f>
              <c:strCache>
                <c:ptCount val="3"/>
                <c:pt idx="0">
                  <c:v>Agriculture</c:v>
                </c:pt>
                <c:pt idx="1">
                  <c:v>Industry</c:v>
                </c:pt>
                <c:pt idx="2">
                  <c:v>Services</c:v>
                </c:pt>
              </c:strCache>
            </c:strRef>
          </c:cat>
          <c:val>
            <c:numRef>
              <c:f>Processing!$AH$2:$AH$4</c:f>
              <c:numCache>
                <c:formatCode>General</c:formatCode>
                <c:ptCount val="3"/>
                <c:pt idx="0">
                  <c:v>4.0199999999999996</c:v>
                </c:pt>
                <c:pt idx="1">
                  <c:v>21.03</c:v>
                </c:pt>
                <c:pt idx="2">
                  <c:v>74.05</c:v>
                </c:pt>
              </c:numCache>
            </c:numRef>
          </c:val>
          <c:extLst>
            <c:ext xmlns:c16="http://schemas.microsoft.com/office/drawing/2014/chart" uri="{C3380CC4-5D6E-409C-BE32-E72D297353CC}">
              <c16:uniqueId val="{00000006-713A-4974-9F6F-5432389FAC87}"/>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Processing!$AH$6</c:f>
              <c:strCache>
                <c:ptCount val="1"/>
                <c:pt idx="0">
                  <c:v>Value</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spPr>
              <a:solidFill>
                <a:srgbClr val="0575F1"/>
              </a:solidFill>
              <a:ln w="9525" cap="flat" cmpd="sng" algn="ctr">
                <a:noFill/>
                <a:round/>
              </a:ln>
              <a:effectLst/>
            </c:spPr>
            <c:extLst>
              <c:ext xmlns:c16="http://schemas.microsoft.com/office/drawing/2014/chart" uri="{C3380CC4-5D6E-409C-BE32-E72D297353CC}">
                <c16:uniqueId val="{00000002-C2A8-449F-8772-5BA7DC83EBD2}"/>
              </c:ext>
            </c:extLst>
          </c:dPt>
          <c:dPt>
            <c:idx val="1"/>
            <c:invertIfNegative val="0"/>
            <c:bubble3D val="0"/>
            <c:spPr>
              <a:solidFill>
                <a:srgbClr val="1B2399"/>
              </a:solidFill>
              <a:ln w="9525" cap="flat" cmpd="sng" algn="ctr">
                <a:noFill/>
                <a:round/>
              </a:ln>
              <a:effectLst/>
            </c:spPr>
            <c:extLst>
              <c:ext xmlns:c16="http://schemas.microsoft.com/office/drawing/2014/chart" uri="{C3380CC4-5D6E-409C-BE32-E72D297353CC}">
                <c16:uniqueId val="{00000001-C2A8-449F-8772-5BA7DC83EBD2}"/>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Processing!$AG$7:$AG$8</c:f>
              <c:strCache>
                <c:ptCount val="2"/>
                <c:pt idx="0">
                  <c:v>Consumption
Contribution</c:v>
                </c:pt>
                <c:pt idx="1">
                  <c:v>Sector Total</c:v>
                </c:pt>
              </c:strCache>
            </c:strRef>
          </c:cat>
          <c:val>
            <c:numRef>
              <c:f>Processing!$AH$7:$AH$8</c:f>
              <c:numCache>
                <c:formatCode>General</c:formatCode>
                <c:ptCount val="2"/>
                <c:pt idx="0">
                  <c:v>65.3</c:v>
                </c:pt>
                <c:pt idx="1">
                  <c:v>99.1</c:v>
                </c:pt>
              </c:numCache>
            </c:numRef>
          </c:val>
          <c:extLst>
            <c:ext xmlns:c16="http://schemas.microsoft.com/office/drawing/2014/chart" uri="{C3380CC4-5D6E-409C-BE32-E72D297353CC}">
              <c16:uniqueId val="{00000000-C2A8-449F-8772-5BA7DC83EBD2}"/>
            </c:ext>
          </c:extLst>
        </c:ser>
        <c:dLbls>
          <c:dLblPos val="outEnd"/>
          <c:showLegendKey val="0"/>
          <c:showVal val="1"/>
          <c:showCatName val="0"/>
          <c:showSerName val="0"/>
          <c:showPercent val="0"/>
          <c:showBubbleSize val="0"/>
        </c:dLbls>
        <c:gapWidth val="65"/>
        <c:axId val="1560800143"/>
        <c:axId val="1560803023"/>
      </c:barChart>
      <c:catAx>
        <c:axId val="1560800143"/>
        <c:scaling>
          <c:orientation val="minMax"/>
        </c:scaling>
        <c:delete val="1"/>
        <c:axPos val="l"/>
        <c:numFmt formatCode="General" sourceLinked="1"/>
        <c:majorTickMark val="none"/>
        <c:minorTickMark val="none"/>
        <c:tickLblPos val="nextTo"/>
        <c:crossAx val="1560803023"/>
        <c:crosses val="autoZero"/>
        <c:auto val="1"/>
        <c:lblAlgn val="ctr"/>
        <c:lblOffset val="100"/>
        <c:noMultiLvlLbl val="0"/>
      </c:catAx>
      <c:valAx>
        <c:axId val="1560803023"/>
        <c:scaling>
          <c:orientation val="minMax"/>
          <c:max val="120"/>
          <c:min val="0"/>
        </c:scaling>
        <c:delete val="0"/>
        <c:axPos val="b"/>
        <c:majorGridlines>
          <c:spPr>
            <a:ln w="9525" cap="flat" cmpd="sng" algn="ctr">
              <a:solidFill>
                <a:schemeClr val="bg2">
                  <a:lumMod val="50000"/>
                  <a:alpha val="32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accent4">
                    <a:lumMod val="60000"/>
                    <a:lumOff val="40000"/>
                  </a:schemeClr>
                </a:solidFill>
                <a:latin typeface="+mn-lt"/>
                <a:ea typeface="+mn-ea"/>
                <a:cs typeface="+mn-cs"/>
              </a:defRPr>
            </a:pPr>
            <a:endParaRPr lang="en-US"/>
          </a:p>
        </c:txPr>
        <c:crossAx val="1560800143"/>
        <c:crosses val="autoZero"/>
        <c:crossBetween val="between"/>
        <c:majorUnit val="2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523882481565927"/>
          <c:y val="0.20490141690565486"/>
          <c:w val="0.44007792272372043"/>
          <c:h val="0.73346314977596971"/>
        </c:manualLayout>
      </c:layout>
      <c:doughnutChart>
        <c:varyColors val="1"/>
        <c:ser>
          <c:idx val="0"/>
          <c:order val="0"/>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9A74-4903-9E7C-FBA91B6E2FBF}"/>
            </c:ext>
          </c:extLst>
        </c:ser>
        <c:ser>
          <c:idx val="1"/>
          <c:order val="1"/>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9A74-4903-9E7C-FBA91B6E2FBF}"/>
            </c:ext>
          </c:extLst>
        </c:ser>
        <c:ser>
          <c:idx val="2"/>
          <c:order val="2"/>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2-9A74-4903-9E7C-FBA91B6E2FBF}"/>
            </c:ext>
          </c:extLst>
        </c:ser>
        <c:ser>
          <c:idx val="3"/>
          <c:order val="3"/>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3-9A74-4903-9E7C-FBA91B6E2FBF}"/>
            </c:ext>
          </c:extLst>
        </c:ser>
        <c:ser>
          <c:idx val="4"/>
          <c:order val="4"/>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4-9A74-4903-9E7C-FBA91B6E2FBF}"/>
            </c:ext>
          </c:extLst>
        </c:ser>
        <c:dLbls>
          <c:showLegendKey val="0"/>
          <c:showVal val="0"/>
          <c:showCatName val="0"/>
          <c:showSerName val="0"/>
          <c:showPercent val="0"/>
          <c:showBubbleSize val="0"/>
          <c:showLeaderLines val="1"/>
        </c:dLbls>
        <c:firstSliceAng val="270"/>
        <c:holeSize val="29"/>
      </c:doughnutChart>
    </c:plotArea>
    <c:legend>
      <c:legendPos val="b"/>
      <c:layout>
        <c:manualLayout>
          <c:xMode val="edge"/>
          <c:yMode val="edge"/>
          <c:x val="0.17197138434470516"/>
          <c:y val="0.58196497320513063"/>
          <c:w val="0.66815581289747472"/>
          <c:h val="8.0197188957031471E-2"/>
        </c:manualLayout>
      </c:layout>
      <c:overlay val="0"/>
      <c:txPr>
        <a:bodyPr/>
        <a:lstStyle/>
        <a:p>
          <a:pPr rtl="0">
            <a:defRPr sz="800">
              <a:solidFill>
                <a:schemeClr val="tx2">
                  <a:lumMod val="25000"/>
                  <a:lumOff val="75000"/>
                </a:schemeClr>
              </a:solidFill>
            </a:defRPr>
          </a:pPr>
          <a:endParaRPr lang="ru-RU"/>
        </a:p>
      </c:txPr>
    </c:legend>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Processing!$AK$1</c:f>
              <c:strCache>
                <c:ptCount val="1"/>
                <c:pt idx="0">
                  <c:v>Policy Interest Rate</c:v>
                </c:pt>
              </c:strCache>
            </c:strRef>
          </c:tx>
          <c:spPr>
            <a:solidFill>
              <a:srgbClr val="00B050"/>
            </a:solidFill>
            <a:ln>
              <a:noFill/>
            </a:ln>
            <a:effectLst/>
          </c:spPr>
          <c:invertIfNegative val="0"/>
          <c:cat>
            <c:numRef>
              <c:f>Processing!$AJ$2:$AJ$27</c:f>
              <c:numCache>
                <c:formatCode>0</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Processing!$AK$2:$AK$27</c:f>
              <c:numCache>
                <c:formatCode>General</c:formatCode>
                <c:ptCount val="26"/>
                <c:pt idx="0">
                  <c:v>14.2</c:v>
                </c:pt>
                <c:pt idx="1">
                  <c:v>12.5</c:v>
                </c:pt>
                <c:pt idx="2">
                  <c:v>11.1</c:v>
                </c:pt>
                <c:pt idx="3">
                  <c:v>8.8000000000000007</c:v>
                </c:pt>
                <c:pt idx="4">
                  <c:v>7.4</c:v>
                </c:pt>
                <c:pt idx="5">
                  <c:v>6.9</c:v>
                </c:pt>
                <c:pt idx="6">
                  <c:v>5.5</c:v>
                </c:pt>
                <c:pt idx="7">
                  <c:v>6.2</c:v>
                </c:pt>
                <c:pt idx="8">
                  <c:v>8.5</c:v>
                </c:pt>
                <c:pt idx="9">
                  <c:v>11.4</c:v>
                </c:pt>
                <c:pt idx="10">
                  <c:v>14.8</c:v>
                </c:pt>
                <c:pt idx="11">
                  <c:v>9.1999999999999993</c:v>
                </c:pt>
                <c:pt idx="12">
                  <c:v>6.4</c:v>
                </c:pt>
                <c:pt idx="13">
                  <c:v>5.0999999999999996</c:v>
                </c:pt>
                <c:pt idx="14">
                  <c:v>4.3</c:v>
                </c:pt>
                <c:pt idx="15">
                  <c:v>3.8</c:v>
                </c:pt>
                <c:pt idx="16">
                  <c:v>3.5</c:v>
                </c:pt>
                <c:pt idx="17">
                  <c:v>3.2</c:v>
                </c:pt>
                <c:pt idx="18">
                  <c:v>2.9</c:v>
                </c:pt>
                <c:pt idx="19">
                  <c:v>2.8</c:v>
                </c:pt>
                <c:pt idx="20">
                  <c:v>2.9</c:v>
                </c:pt>
                <c:pt idx="21">
                  <c:v>3.1</c:v>
                </c:pt>
                <c:pt idx="22">
                  <c:v>2.8</c:v>
                </c:pt>
                <c:pt idx="23">
                  <c:v>4.2</c:v>
                </c:pt>
                <c:pt idx="24">
                  <c:v>5.8</c:v>
                </c:pt>
                <c:pt idx="25">
                  <c:v>4.8</c:v>
                </c:pt>
              </c:numCache>
            </c:numRef>
          </c:val>
          <c:extLst>
            <c:ext xmlns:c16="http://schemas.microsoft.com/office/drawing/2014/chart" uri="{C3380CC4-5D6E-409C-BE32-E72D297353CC}">
              <c16:uniqueId val="{00000000-6397-4295-AFBA-3BAD032DC7EF}"/>
            </c:ext>
          </c:extLst>
        </c:ser>
        <c:ser>
          <c:idx val="1"/>
          <c:order val="1"/>
          <c:tx>
            <c:strRef>
              <c:f>Processing!$AL$1</c:f>
              <c:strCache>
                <c:ptCount val="1"/>
                <c:pt idx="0">
                  <c:v>Market Interest Rate</c:v>
                </c:pt>
              </c:strCache>
            </c:strRef>
          </c:tx>
          <c:spPr>
            <a:solidFill>
              <a:schemeClr val="accent2">
                <a:lumMod val="75000"/>
              </a:schemeClr>
            </a:solidFill>
            <a:ln>
              <a:noFill/>
            </a:ln>
            <a:effectLst/>
          </c:spPr>
          <c:invertIfNegative val="0"/>
          <c:cat>
            <c:numRef>
              <c:f>Processing!$AJ$2:$AJ$27</c:f>
              <c:numCache>
                <c:formatCode>0</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Processing!$AL$2:$AL$27</c:f>
              <c:numCache>
                <c:formatCode>General</c:formatCode>
                <c:ptCount val="26"/>
                <c:pt idx="0">
                  <c:v>14.2</c:v>
                </c:pt>
                <c:pt idx="1">
                  <c:v>12.5</c:v>
                </c:pt>
                <c:pt idx="2">
                  <c:v>11.1</c:v>
                </c:pt>
                <c:pt idx="3">
                  <c:v>8.8000000000000007</c:v>
                </c:pt>
                <c:pt idx="4">
                  <c:v>7.4</c:v>
                </c:pt>
                <c:pt idx="5">
                  <c:v>6.9</c:v>
                </c:pt>
                <c:pt idx="6">
                  <c:v>5.5</c:v>
                </c:pt>
                <c:pt idx="7">
                  <c:v>6.2</c:v>
                </c:pt>
                <c:pt idx="8">
                  <c:v>8.5</c:v>
                </c:pt>
                <c:pt idx="9">
                  <c:v>11.4</c:v>
                </c:pt>
                <c:pt idx="10">
                  <c:v>14.8</c:v>
                </c:pt>
                <c:pt idx="11">
                  <c:v>9.1999999999999993</c:v>
                </c:pt>
                <c:pt idx="12">
                  <c:v>6.4</c:v>
                </c:pt>
                <c:pt idx="13">
                  <c:v>5.0999999999999996</c:v>
                </c:pt>
                <c:pt idx="14">
                  <c:v>4.3</c:v>
                </c:pt>
                <c:pt idx="15">
                  <c:v>3.8</c:v>
                </c:pt>
                <c:pt idx="16">
                  <c:v>3.5</c:v>
                </c:pt>
                <c:pt idx="17">
                  <c:v>3.2</c:v>
                </c:pt>
                <c:pt idx="18">
                  <c:v>2.9</c:v>
                </c:pt>
                <c:pt idx="19">
                  <c:v>2.8</c:v>
                </c:pt>
                <c:pt idx="20">
                  <c:v>2.9</c:v>
                </c:pt>
                <c:pt idx="21">
                  <c:v>3.1</c:v>
                </c:pt>
                <c:pt idx="22">
                  <c:v>2.8</c:v>
                </c:pt>
                <c:pt idx="23">
                  <c:v>4.2</c:v>
                </c:pt>
                <c:pt idx="24">
                  <c:v>5.8</c:v>
                </c:pt>
                <c:pt idx="25">
                  <c:v>4.8</c:v>
                </c:pt>
              </c:numCache>
            </c:numRef>
          </c:val>
          <c:extLst>
            <c:ext xmlns:c16="http://schemas.microsoft.com/office/drawing/2014/chart" uri="{C3380CC4-5D6E-409C-BE32-E72D297353CC}">
              <c16:uniqueId val="{00000001-6397-4295-AFBA-3BAD032DC7EF}"/>
            </c:ext>
          </c:extLst>
        </c:ser>
        <c:dLbls>
          <c:showLegendKey val="0"/>
          <c:showVal val="0"/>
          <c:showCatName val="0"/>
          <c:showSerName val="0"/>
          <c:showPercent val="0"/>
          <c:showBubbleSize val="0"/>
        </c:dLbls>
        <c:gapWidth val="70"/>
        <c:overlap val="-27"/>
        <c:axId val="1381455935"/>
        <c:axId val="1381457375"/>
      </c:barChart>
      <c:catAx>
        <c:axId val="1381455935"/>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4">
                    <a:lumMod val="60000"/>
                    <a:lumOff val="40000"/>
                  </a:schemeClr>
                </a:solidFill>
                <a:latin typeface="+mn-lt"/>
                <a:ea typeface="+mn-ea"/>
                <a:cs typeface="+mn-cs"/>
              </a:defRPr>
            </a:pPr>
            <a:endParaRPr lang="en-US"/>
          </a:p>
        </c:txPr>
        <c:crossAx val="1381457375"/>
        <c:crosses val="autoZero"/>
        <c:auto val="1"/>
        <c:lblAlgn val="ctr"/>
        <c:lblOffset val="100"/>
        <c:noMultiLvlLbl val="0"/>
      </c:catAx>
      <c:valAx>
        <c:axId val="1381457375"/>
        <c:scaling>
          <c:orientation val="minMax"/>
        </c:scaling>
        <c:delete val="0"/>
        <c:axPos val="l"/>
        <c:majorGridlines>
          <c:spPr>
            <a:ln w="9525" cap="flat" cmpd="sng" algn="ctr">
              <a:solidFill>
                <a:schemeClr val="bg2">
                  <a:lumMod val="50000"/>
                  <a:alpha val="6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60000"/>
                    <a:lumOff val="40000"/>
                  </a:schemeClr>
                </a:solidFill>
                <a:latin typeface="+mn-lt"/>
                <a:ea typeface="+mn-ea"/>
                <a:cs typeface="+mn-cs"/>
              </a:defRPr>
            </a:pPr>
            <a:endParaRPr lang="en-US"/>
          </a:p>
        </c:txPr>
        <c:crossAx val="13814559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solidFill>
                  <a:schemeClr val="bg1"/>
                </a:solidFill>
              </a:rPr>
              <a:t>Money</a:t>
            </a:r>
            <a:r>
              <a:rPr lang="en-US" baseline="0">
                <a:solidFill>
                  <a:schemeClr val="bg1"/>
                </a:solidFill>
              </a:rPr>
              <a:t> Supply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lotArea>
      <c:layout/>
      <c:scatterChart>
        <c:scatterStyle val="lineMarker"/>
        <c:varyColors val="0"/>
        <c:ser>
          <c:idx val="0"/>
          <c:order val="0"/>
          <c:spPr>
            <a:ln w="9525" cap="rnd">
              <a:solidFill>
                <a:schemeClr val="accent2">
                  <a:lumMod val="75000"/>
                </a:schemeClr>
              </a:solidFill>
              <a:round/>
            </a:ln>
            <a:effectLst>
              <a:outerShdw blurRad="57150" dist="19050" dir="5400000" algn="ctr" rotWithShape="0">
                <a:srgbClr val="000000">
                  <a:alpha val="63000"/>
                </a:srgbClr>
              </a:outerShdw>
            </a:effectLst>
          </c:spPr>
          <c:marker>
            <c:symbol val="circle"/>
            <c:size val="9"/>
            <c:spPr>
              <a:solidFill>
                <a:srgbClr val="00B050"/>
              </a:solidFill>
              <a:ln w="22225" cap="rnd">
                <a:solidFill>
                  <a:schemeClr val="accent2">
                    <a:lumMod val="75000"/>
                  </a:schemeClr>
                </a:solidFill>
                <a:round/>
              </a:ln>
              <a:effectLst>
                <a:outerShdw blurRad="57150" dist="19050" dir="5400000" algn="ctr" rotWithShape="0">
                  <a:srgbClr val="000000">
                    <a:alpha val="63000"/>
                  </a:srgbClr>
                </a:outerShdw>
              </a:effectLst>
            </c:spPr>
          </c:marker>
          <c:xVal>
            <c:numRef>
              <c:f>Processing!$AN$1:$AN$26</c:f>
              <c:numCache>
                <c:formatCode>General</c:formatCode>
                <c:ptCount val="26"/>
                <c:pt idx="0" formatCode="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xVal>
          <c:yVal>
            <c:numRef>
              <c:f>Processing!$AO$1:$AO$26</c:f>
              <c:numCache>
                <c:formatCode>General</c:formatCode>
                <c:ptCount val="26"/>
                <c:pt idx="0">
                  <c:v>15</c:v>
                </c:pt>
                <c:pt idx="1">
                  <c:v>28</c:v>
                </c:pt>
                <c:pt idx="2">
                  <c:v>21</c:v>
                </c:pt>
                <c:pt idx="3">
                  <c:v>21</c:v>
                </c:pt>
                <c:pt idx="4">
                  <c:v>19</c:v>
                </c:pt>
                <c:pt idx="5">
                  <c:v>27</c:v>
                </c:pt>
                <c:pt idx="6">
                  <c:v>38</c:v>
                </c:pt>
                <c:pt idx="7">
                  <c:v>41</c:v>
                </c:pt>
                <c:pt idx="8">
                  <c:v>13</c:v>
                </c:pt>
                <c:pt idx="9">
                  <c:v>-2</c:v>
                </c:pt>
                <c:pt idx="10">
                  <c:v>-5</c:v>
                </c:pt>
                <c:pt idx="11">
                  <c:v>7</c:v>
                </c:pt>
                <c:pt idx="12">
                  <c:v>2</c:v>
                </c:pt>
                <c:pt idx="13">
                  <c:v>6</c:v>
                </c:pt>
                <c:pt idx="14">
                  <c:v>13</c:v>
                </c:pt>
                <c:pt idx="15">
                  <c:v>8.02</c:v>
                </c:pt>
                <c:pt idx="16">
                  <c:v>8.0399999999999991</c:v>
                </c:pt>
                <c:pt idx="17">
                  <c:v>6.08</c:v>
                </c:pt>
                <c:pt idx="18">
                  <c:v>3.02</c:v>
                </c:pt>
                <c:pt idx="19">
                  <c:v>13.08</c:v>
                </c:pt>
                <c:pt idx="20">
                  <c:v>8</c:v>
                </c:pt>
                <c:pt idx="21">
                  <c:v>13.01</c:v>
                </c:pt>
                <c:pt idx="22">
                  <c:v>7.09</c:v>
                </c:pt>
                <c:pt idx="23">
                  <c:v>6.04</c:v>
                </c:pt>
                <c:pt idx="24">
                  <c:v>2.0299999999999998</c:v>
                </c:pt>
                <c:pt idx="25">
                  <c:v>6.06</c:v>
                </c:pt>
              </c:numCache>
            </c:numRef>
          </c:yVal>
          <c:smooth val="0"/>
          <c:extLst>
            <c:ext xmlns:c16="http://schemas.microsoft.com/office/drawing/2014/chart" uri="{C3380CC4-5D6E-409C-BE32-E72D297353CC}">
              <c16:uniqueId val="{00000000-6F3E-4B98-A181-B9C41E872929}"/>
            </c:ext>
          </c:extLst>
        </c:ser>
        <c:dLbls>
          <c:showLegendKey val="0"/>
          <c:showVal val="0"/>
          <c:showCatName val="0"/>
          <c:showSerName val="0"/>
          <c:showPercent val="0"/>
          <c:showBubbleSize val="0"/>
        </c:dLbls>
        <c:axId val="109732591"/>
        <c:axId val="109734031"/>
      </c:scatterChart>
      <c:valAx>
        <c:axId val="109732591"/>
        <c:scaling>
          <c:orientation val="minMax"/>
          <c:max val="2025"/>
          <c:min val="1998"/>
        </c:scaling>
        <c:delete val="0"/>
        <c:axPos val="b"/>
        <c:majorGridlines>
          <c:spPr>
            <a:ln w="9525" cap="flat" cmpd="sng" algn="ctr">
              <a:solidFill>
                <a:schemeClr val="bg2">
                  <a:lumMod val="50000"/>
                  <a:alpha val="68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4">
                    <a:lumMod val="60000"/>
                    <a:lumOff val="40000"/>
                  </a:schemeClr>
                </a:solidFill>
                <a:latin typeface="+mn-lt"/>
                <a:ea typeface="+mn-ea"/>
                <a:cs typeface="+mn-cs"/>
              </a:defRPr>
            </a:pPr>
            <a:endParaRPr lang="en-US"/>
          </a:p>
        </c:txPr>
        <c:crossAx val="109734031"/>
        <c:crosses val="autoZero"/>
        <c:crossBetween val="midCat"/>
        <c:majorUnit val="3"/>
      </c:valAx>
      <c:valAx>
        <c:axId val="109734031"/>
        <c:scaling>
          <c:orientation val="minMax"/>
        </c:scaling>
        <c:delete val="0"/>
        <c:axPos val="l"/>
        <c:majorGridlines>
          <c:spPr>
            <a:ln w="9525" cap="flat" cmpd="sng" algn="ctr">
              <a:solidFill>
                <a:schemeClr val="bg2">
                  <a:lumMod val="50000"/>
                  <a:alpha val="61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accent4">
                    <a:lumMod val="60000"/>
                    <a:lumOff val="40000"/>
                  </a:schemeClr>
                </a:solidFill>
                <a:latin typeface="+mn-lt"/>
                <a:ea typeface="+mn-ea"/>
                <a:cs typeface="+mn-cs"/>
              </a:defRPr>
            </a:pPr>
            <a:endParaRPr lang="en-US"/>
          </a:p>
        </c:txPr>
        <c:crossAx val="109732591"/>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gradFill>
              <a:gsLst>
                <a:gs pos="65000">
                  <a:srgbClr val="5D63D1"/>
                </a:gs>
                <a:gs pos="100000">
                  <a:srgbClr val="2E327A"/>
                </a:gs>
                <a:gs pos="0">
                  <a:schemeClr val="accent1">
                    <a:lumMod val="30000"/>
                    <a:lumOff val="70000"/>
                  </a:schemeClr>
                </a:gs>
              </a:gsLst>
              <a:lin ang="10800000" scaled="0"/>
            </a:gradFill>
            <a:ln>
              <a:noFill/>
            </a:ln>
            <a:effectLst/>
          </c:spPr>
          <c:invertIfNegative val="0"/>
          <c:cat>
            <c:strRef>
              <c:f>Processing!$AG$11:$AG$13</c:f>
              <c:strCache>
                <c:ptCount val="3"/>
                <c:pt idx="0">
                  <c:v>Policy Rate</c:v>
                </c:pt>
                <c:pt idx="1">
                  <c:v>Money Supply</c:v>
                </c:pt>
                <c:pt idx="2">
                  <c:v>Credit Growth</c:v>
                </c:pt>
              </c:strCache>
            </c:strRef>
          </c:cat>
          <c:val>
            <c:numRef>
              <c:f>Processing!$AH$11:$AH$13</c:f>
              <c:numCache>
                <c:formatCode>General</c:formatCode>
                <c:ptCount val="3"/>
                <c:pt idx="0">
                  <c:v>5.5</c:v>
                </c:pt>
                <c:pt idx="1">
                  <c:v>38</c:v>
                </c:pt>
                <c:pt idx="2">
                  <c:v>62.7</c:v>
                </c:pt>
              </c:numCache>
            </c:numRef>
          </c:val>
          <c:extLst>
            <c:ext xmlns:c16="http://schemas.microsoft.com/office/drawing/2014/chart" uri="{C3380CC4-5D6E-409C-BE32-E72D297353CC}">
              <c16:uniqueId val="{00000000-D693-40CD-84E7-9C22131A64CD}"/>
            </c:ext>
          </c:extLst>
        </c:ser>
        <c:dLbls>
          <c:showLegendKey val="0"/>
          <c:showVal val="0"/>
          <c:showCatName val="0"/>
          <c:showSerName val="0"/>
          <c:showPercent val="0"/>
          <c:showBubbleSize val="0"/>
        </c:dLbls>
        <c:gapWidth val="182"/>
        <c:axId val="1541788879"/>
        <c:axId val="1541789839"/>
      </c:barChart>
      <c:catAx>
        <c:axId val="1541788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4">
                    <a:lumMod val="60000"/>
                    <a:lumOff val="40000"/>
                  </a:schemeClr>
                </a:solidFill>
                <a:latin typeface="+mn-lt"/>
                <a:ea typeface="+mn-ea"/>
                <a:cs typeface="+mn-cs"/>
              </a:defRPr>
            </a:pPr>
            <a:endParaRPr lang="en-US"/>
          </a:p>
        </c:txPr>
        <c:crossAx val="1541789839"/>
        <c:crosses val="autoZero"/>
        <c:auto val="1"/>
        <c:lblAlgn val="ctr"/>
        <c:lblOffset val="100"/>
        <c:noMultiLvlLbl val="0"/>
      </c:catAx>
      <c:valAx>
        <c:axId val="1541789839"/>
        <c:scaling>
          <c:orientation val="minMax"/>
        </c:scaling>
        <c:delete val="0"/>
        <c:axPos val="b"/>
        <c:majorGridlines>
          <c:spPr>
            <a:ln w="9525" cap="flat" cmpd="sng" algn="ctr">
              <a:solidFill>
                <a:schemeClr val="bg2">
                  <a:lumMod val="50000"/>
                  <a:alpha val="7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accent4">
                    <a:lumMod val="60000"/>
                    <a:lumOff val="40000"/>
                  </a:schemeClr>
                </a:solidFill>
                <a:latin typeface="+mn-lt"/>
                <a:ea typeface="+mn-ea"/>
                <a:cs typeface="+mn-cs"/>
              </a:defRPr>
            </a:pPr>
            <a:endParaRPr lang="en-US"/>
          </a:p>
        </c:txPr>
        <c:crossAx val="154178887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523882481565927"/>
          <c:y val="0.20490141690565486"/>
          <c:w val="0.44007792272372043"/>
          <c:h val="0.73346314977596971"/>
        </c:manualLayout>
      </c:layout>
      <c:doughnutChart>
        <c:varyColors val="1"/>
        <c:ser>
          <c:idx val="0"/>
          <c:order val="0"/>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3212-4D39-8816-71D5BB5AB0C9}"/>
            </c:ext>
          </c:extLst>
        </c:ser>
        <c:ser>
          <c:idx val="1"/>
          <c:order val="1"/>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3212-4D39-8816-71D5BB5AB0C9}"/>
            </c:ext>
          </c:extLst>
        </c:ser>
        <c:ser>
          <c:idx val="2"/>
          <c:order val="2"/>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2-3212-4D39-8816-71D5BB5AB0C9}"/>
            </c:ext>
          </c:extLst>
        </c:ser>
        <c:ser>
          <c:idx val="3"/>
          <c:order val="3"/>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3-3212-4D39-8816-71D5BB5AB0C9}"/>
            </c:ext>
          </c:extLst>
        </c:ser>
        <c:ser>
          <c:idx val="4"/>
          <c:order val="4"/>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4-3212-4D39-8816-71D5BB5AB0C9}"/>
            </c:ext>
          </c:extLst>
        </c:ser>
        <c:dLbls>
          <c:showLegendKey val="0"/>
          <c:showVal val="0"/>
          <c:showCatName val="0"/>
          <c:showSerName val="0"/>
          <c:showPercent val="0"/>
          <c:showBubbleSize val="0"/>
          <c:showLeaderLines val="1"/>
        </c:dLbls>
        <c:firstSliceAng val="270"/>
        <c:holeSize val="29"/>
      </c:doughnutChart>
    </c:plotArea>
    <c:legend>
      <c:legendPos val="b"/>
      <c:layout>
        <c:manualLayout>
          <c:xMode val="edge"/>
          <c:yMode val="edge"/>
          <c:x val="0.17197138434470516"/>
          <c:y val="0.58196497320513063"/>
          <c:w val="0.66815581289747472"/>
          <c:h val="8.0197188957031471E-2"/>
        </c:manualLayout>
      </c:layout>
      <c:overlay val="0"/>
      <c:txPr>
        <a:bodyPr/>
        <a:lstStyle/>
        <a:p>
          <a:pPr rtl="0">
            <a:defRPr sz="800">
              <a:solidFill>
                <a:schemeClr val="tx2">
                  <a:lumMod val="25000"/>
                  <a:lumOff val="75000"/>
                </a:schemeClr>
              </a:solidFill>
            </a:defRPr>
          </a:pPr>
          <a:endParaRPr lang="ru-RU"/>
        </a:p>
      </c:txPr>
    </c:legend>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Headline vs.  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lineChart>
        <c:grouping val="standard"/>
        <c:varyColors val="0"/>
        <c:ser>
          <c:idx val="0"/>
          <c:order val="0"/>
          <c:tx>
            <c:strRef>
              <c:f>Processing!$AS$1</c:f>
              <c:strCache>
                <c:ptCount val="1"/>
                <c:pt idx="0">
                  <c:v>Headline Inflation</c:v>
                </c:pt>
              </c:strCache>
            </c:strRef>
          </c:tx>
          <c:spPr>
            <a:ln w="28575" cap="rnd">
              <a:solidFill>
                <a:srgbClr val="FFC000"/>
              </a:solidFill>
              <a:round/>
            </a:ln>
            <a:effectLst/>
          </c:spPr>
          <c:marker>
            <c:symbol val="none"/>
          </c:marker>
          <c:cat>
            <c:numRef>
              <c:f>Processing!$AR$2:$AR$27</c:f>
              <c:numCache>
                <c:formatCode>0</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Processing!$AS$2:$AS$27</c:f>
              <c:numCache>
                <c:formatCode>General</c:formatCode>
                <c:ptCount val="26"/>
                <c:pt idx="0">
                  <c:v>2.36</c:v>
                </c:pt>
                <c:pt idx="1">
                  <c:v>2.65</c:v>
                </c:pt>
                <c:pt idx="2">
                  <c:v>2.4900000000000002</c:v>
                </c:pt>
                <c:pt idx="3">
                  <c:v>1.94</c:v>
                </c:pt>
                <c:pt idx="4">
                  <c:v>2.94</c:v>
                </c:pt>
                <c:pt idx="5">
                  <c:v>6.19</c:v>
                </c:pt>
                <c:pt idx="6">
                  <c:v>6.75</c:v>
                </c:pt>
                <c:pt idx="7">
                  <c:v>6.54</c:v>
                </c:pt>
                <c:pt idx="8">
                  <c:v>10.09</c:v>
                </c:pt>
                <c:pt idx="9">
                  <c:v>15.04</c:v>
                </c:pt>
                <c:pt idx="10">
                  <c:v>3.53</c:v>
                </c:pt>
                <c:pt idx="11">
                  <c:v>-1.08</c:v>
                </c:pt>
                <c:pt idx="12">
                  <c:v>4.37</c:v>
                </c:pt>
                <c:pt idx="13">
                  <c:v>2.2599999999999998</c:v>
                </c:pt>
                <c:pt idx="14">
                  <c:v>-0.03</c:v>
                </c:pt>
                <c:pt idx="15">
                  <c:v>0.62</c:v>
                </c:pt>
                <c:pt idx="16">
                  <c:v>0.17</c:v>
                </c:pt>
                <c:pt idx="17">
                  <c:v>0.14000000000000001</c:v>
                </c:pt>
                <c:pt idx="18">
                  <c:v>2.93</c:v>
                </c:pt>
                <c:pt idx="19">
                  <c:v>2.5299999999999998</c:v>
                </c:pt>
                <c:pt idx="20">
                  <c:v>2.81</c:v>
                </c:pt>
                <c:pt idx="21">
                  <c:v>0.22</c:v>
                </c:pt>
                <c:pt idx="22">
                  <c:v>3.28</c:v>
                </c:pt>
                <c:pt idx="23">
                  <c:v>17.309999999999999</c:v>
                </c:pt>
                <c:pt idx="24">
                  <c:v>8.94</c:v>
                </c:pt>
                <c:pt idx="25">
                  <c:v>1.24</c:v>
                </c:pt>
              </c:numCache>
            </c:numRef>
          </c:val>
          <c:smooth val="0"/>
          <c:extLst>
            <c:ext xmlns:c16="http://schemas.microsoft.com/office/drawing/2014/chart" uri="{C3380CC4-5D6E-409C-BE32-E72D297353CC}">
              <c16:uniqueId val="{00000000-BBFA-4FCF-81B6-E2DA0A3F6CC1}"/>
            </c:ext>
          </c:extLst>
        </c:ser>
        <c:ser>
          <c:idx val="1"/>
          <c:order val="1"/>
          <c:tx>
            <c:strRef>
              <c:f>Processing!$AT$1</c:f>
              <c:strCache>
                <c:ptCount val="1"/>
                <c:pt idx="0">
                  <c:v>Core Inflation</c:v>
                </c:pt>
              </c:strCache>
            </c:strRef>
          </c:tx>
          <c:spPr>
            <a:ln w="28575" cap="rnd">
              <a:solidFill>
                <a:srgbClr val="00B050"/>
              </a:solidFill>
              <a:round/>
            </a:ln>
            <a:effectLst/>
          </c:spPr>
          <c:marker>
            <c:symbol val="none"/>
          </c:marker>
          <c:cat>
            <c:numRef>
              <c:f>Processing!$AR$2:$AR$27</c:f>
              <c:numCache>
                <c:formatCode>0</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Processing!$AT$2:$AT$27</c:f>
              <c:numCache>
                <c:formatCode>General</c:formatCode>
                <c:ptCount val="26"/>
                <c:pt idx="0">
                  <c:v>2.9</c:v>
                </c:pt>
                <c:pt idx="1">
                  <c:v>2.4</c:v>
                </c:pt>
                <c:pt idx="2">
                  <c:v>2.2000000000000002</c:v>
                </c:pt>
                <c:pt idx="3">
                  <c:v>2</c:v>
                </c:pt>
                <c:pt idx="4">
                  <c:v>2.1</c:v>
                </c:pt>
                <c:pt idx="5">
                  <c:v>4.4000000000000004</c:v>
                </c:pt>
                <c:pt idx="6">
                  <c:v>5.0999999999999996</c:v>
                </c:pt>
                <c:pt idx="7">
                  <c:v>5.8</c:v>
                </c:pt>
                <c:pt idx="8">
                  <c:v>9</c:v>
                </c:pt>
                <c:pt idx="9">
                  <c:v>13.5</c:v>
                </c:pt>
                <c:pt idx="10">
                  <c:v>3.8</c:v>
                </c:pt>
                <c:pt idx="11">
                  <c:v>-2.5</c:v>
                </c:pt>
                <c:pt idx="12">
                  <c:v>2.6</c:v>
                </c:pt>
                <c:pt idx="13">
                  <c:v>1.6</c:v>
                </c:pt>
                <c:pt idx="14">
                  <c:v>0.3</c:v>
                </c:pt>
                <c:pt idx="15">
                  <c:v>0.9</c:v>
                </c:pt>
                <c:pt idx="16">
                  <c:v>1.2</c:v>
                </c:pt>
                <c:pt idx="17">
                  <c:v>1</c:v>
                </c:pt>
                <c:pt idx="18">
                  <c:v>1.9</c:v>
                </c:pt>
                <c:pt idx="19">
                  <c:v>2</c:v>
                </c:pt>
                <c:pt idx="20">
                  <c:v>2.4</c:v>
                </c:pt>
                <c:pt idx="21">
                  <c:v>0.8</c:v>
                </c:pt>
                <c:pt idx="22">
                  <c:v>2</c:v>
                </c:pt>
                <c:pt idx="23">
                  <c:v>9.5</c:v>
                </c:pt>
                <c:pt idx="24">
                  <c:v>10</c:v>
                </c:pt>
                <c:pt idx="25">
                  <c:v>3.6</c:v>
                </c:pt>
              </c:numCache>
            </c:numRef>
          </c:val>
          <c:smooth val="0"/>
          <c:extLst>
            <c:ext xmlns:c16="http://schemas.microsoft.com/office/drawing/2014/chart" uri="{C3380CC4-5D6E-409C-BE32-E72D297353CC}">
              <c16:uniqueId val="{00000001-BBFA-4FCF-81B6-E2DA0A3F6CC1}"/>
            </c:ext>
          </c:extLst>
        </c:ser>
        <c:dLbls>
          <c:showLegendKey val="0"/>
          <c:showVal val="0"/>
          <c:showCatName val="0"/>
          <c:showSerName val="0"/>
          <c:showPercent val="0"/>
          <c:showBubbleSize val="0"/>
        </c:dLbls>
        <c:smooth val="0"/>
        <c:axId val="1683733712"/>
        <c:axId val="1683732752"/>
      </c:lineChart>
      <c:catAx>
        <c:axId val="1683733712"/>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4">
                    <a:lumMod val="60000"/>
                    <a:lumOff val="40000"/>
                  </a:schemeClr>
                </a:solidFill>
                <a:latin typeface="+mn-lt"/>
                <a:ea typeface="+mn-ea"/>
                <a:cs typeface="+mn-cs"/>
              </a:defRPr>
            </a:pPr>
            <a:endParaRPr lang="en-US"/>
          </a:p>
        </c:txPr>
        <c:crossAx val="1683732752"/>
        <c:crosses val="autoZero"/>
        <c:auto val="1"/>
        <c:lblAlgn val="ctr"/>
        <c:lblOffset val="100"/>
        <c:noMultiLvlLbl val="0"/>
      </c:catAx>
      <c:valAx>
        <c:axId val="1683732752"/>
        <c:scaling>
          <c:orientation val="minMax"/>
        </c:scaling>
        <c:delete val="0"/>
        <c:axPos val="l"/>
        <c:majorGridlines>
          <c:spPr>
            <a:ln w="9525" cap="flat" cmpd="sng" algn="ctr">
              <a:solidFill>
                <a:schemeClr val="bg2">
                  <a:lumMod val="50000"/>
                  <a:alpha val="72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60000"/>
                    <a:lumOff val="40000"/>
                  </a:schemeClr>
                </a:solidFill>
                <a:latin typeface="+mn-lt"/>
                <a:ea typeface="+mn-ea"/>
                <a:cs typeface="+mn-cs"/>
              </a:defRPr>
            </a:pPr>
            <a:endParaRPr lang="en-US"/>
          </a:p>
        </c:txPr>
        <c:crossAx val="1683733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Food</a:t>
            </a:r>
            <a:r>
              <a:rPr lang="en-US" baseline="0">
                <a:solidFill>
                  <a:schemeClr val="bg1"/>
                </a:solidFill>
              </a:rPr>
              <a:t> vs. Non Food</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areaChart>
        <c:grouping val="stacked"/>
        <c:varyColors val="0"/>
        <c:ser>
          <c:idx val="0"/>
          <c:order val="0"/>
          <c:tx>
            <c:strRef>
              <c:f>Processing!$AU$1</c:f>
              <c:strCache>
                <c:ptCount val="1"/>
                <c:pt idx="0">
                  <c:v>Food Inflation</c:v>
                </c:pt>
              </c:strCache>
            </c:strRef>
          </c:tx>
          <c:spPr>
            <a:gradFill>
              <a:gsLst>
                <a:gs pos="31000">
                  <a:srgbClr val="5D63D1"/>
                </a:gs>
                <a:gs pos="100000">
                  <a:srgbClr val="2E327A"/>
                </a:gs>
                <a:gs pos="0">
                  <a:schemeClr val="accent1">
                    <a:lumMod val="30000"/>
                    <a:lumOff val="70000"/>
                  </a:schemeClr>
                </a:gs>
              </a:gsLst>
              <a:lin ang="8100000" scaled="1"/>
            </a:gradFill>
            <a:ln>
              <a:noFill/>
            </a:ln>
            <a:effectLst/>
          </c:spPr>
          <c:cat>
            <c:numRef>
              <c:f>Processing!$AR$2:$AR$27</c:f>
              <c:numCache>
                <c:formatCode>0</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Processing!$AU$2:$AU$27</c:f>
              <c:numCache>
                <c:formatCode>General</c:formatCode>
                <c:ptCount val="26"/>
                <c:pt idx="0">
                  <c:v>-2</c:v>
                </c:pt>
                <c:pt idx="1">
                  <c:v>-0.1</c:v>
                </c:pt>
                <c:pt idx="2">
                  <c:v>3.8</c:v>
                </c:pt>
                <c:pt idx="3">
                  <c:v>1.5</c:v>
                </c:pt>
                <c:pt idx="4">
                  <c:v>2.4</c:v>
                </c:pt>
                <c:pt idx="5">
                  <c:v>9</c:v>
                </c:pt>
                <c:pt idx="6">
                  <c:v>8.8000000000000007</c:v>
                </c:pt>
                <c:pt idx="7">
                  <c:v>9.5</c:v>
                </c:pt>
                <c:pt idx="8">
                  <c:v>12.3</c:v>
                </c:pt>
                <c:pt idx="9">
                  <c:v>19.5</c:v>
                </c:pt>
                <c:pt idx="10">
                  <c:v>2.1</c:v>
                </c:pt>
                <c:pt idx="11">
                  <c:v>1</c:v>
                </c:pt>
                <c:pt idx="12">
                  <c:v>7.9</c:v>
                </c:pt>
                <c:pt idx="13">
                  <c:v>2.2000000000000002</c:v>
                </c:pt>
                <c:pt idx="14">
                  <c:v>1.2</c:v>
                </c:pt>
                <c:pt idx="15">
                  <c:v>0.4</c:v>
                </c:pt>
                <c:pt idx="16">
                  <c:v>-0.3</c:v>
                </c:pt>
                <c:pt idx="17">
                  <c:v>-0.7</c:v>
                </c:pt>
                <c:pt idx="18">
                  <c:v>4.9000000000000004</c:v>
                </c:pt>
                <c:pt idx="19">
                  <c:v>1.3</c:v>
                </c:pt>
                <c:pt idx="20">
                  <c:v>4.4000000000000004</c:v>
                </c:pt>
                <c:pt idx="21">
                  <c:v>1.8</c:v>
                </c:pt>
                <c:pt idx="22">
                  <c:v>2.5</c:v>
                </c:pt>
                <c:pt idx="23">
                  <c:v>21</c:v>
                </c:pt>
                <c:pt idx="24">
                  <c:v>11</c:v>
                </c:pt>
                <c:pt idx="25">
                  <c:v>2.8</c:v>
                </c:pt>
              </c:numCache>
            </c:numRef>
          </c:val>
          <c:extLst>
            <c:ext xmlns:c16="http://schemas.microsoft.com/office/drawing/2014/chart" uri="{C3380CC4-5D6E-409C-BE32-E72D297353CC}">
              <c16:uniqueId val="{00000000-C947-4933-9DB1-717898550858}"/>
            </c:ext>
          </c:extLst>
        </c:ser>
        <c:ser>
          <c:idx val="1"/>
          <c:order val="1"/>
          <c:tx>
            <c:strRef>
              <c:f>Processing!$AV$1</c:f>
              <c:strCache>
                <c:ptCount val="1"/>
                <c:pt idx="0">
                  <c:v>Non-Food Inflation</c:v>
                </c:pt>
              </c:strCache>
            </c:strRef>
          </c:tx>
          <c:spPr>
            <a:gradFill>
              <a:gsLst>
                <a:gs pos="100000">
                  <a:srgbClr val="CEC5FF"/>
                </a:gs>
                <a:gs pos="48000">
                  <a:srgbClr val="0093CE"/>
                </a:gs>
                <a:gs pos="12000">
                  <a:srgbClr val="6372A4"/>
                </a:gs>
              </a:gsLst>
              <a:lin ang="5400000" scaled="0"/>
            </a:gradFill>
            <a:ln>
              <a:noFill/>
            </a:ln>
            <a:effectLst/>
          </c:spPr>
          <c:cat>
            <c:numRef>
              <c:f>Processing!$AR$2:$AR$27</c:f>
              <c:numCache>
                <c:formatCode>0</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Processing!$AV$2:$AV$27</c:f>
              <c:numCache>
                <c:formatCode>General</c:formatCode>
                <c:ptCount val="26"/>
                <c:pt idx="0">
                  <c:v>4.0999999999999996</c:v>
                </c:pt>
                <c:pt idx="1">
                  <c:v>3.1</c:v>
                </c:pt>
                <c:pt idx="2">
                  <c:v>2</c:v>
                </c:pt>
                <c:pt idx="3">
                  <c:v>1.8</c:v>
                </c:pt>
                <c:pt idx="4">
                  <c:v>3</c:v>
                </c:pt>
                <c:pt idx="5">
                  <c:v>4.9000000000000004</c:v>
                </c:pt>
                <c:pt idx="6">
                  <c:v>5.9</c:v>
                </c:pt>
                <c:pt idx="7">
                  <c:v>5.4</c:v>
                </c:pt>
                <c:pt idx="8">
                  <c:v>9.1</c:v>
                </c:pt>
                <c:pt idx="9">
                  <c:v>13.1</c:v>
                </c:pt>
                <c:pt idx="10">
                  <c:v>1.4</c:v>
                </c:pt>
                <c:pt idx="11">
                  <c:v>-2.2000000000000002</c:v>
                </c:pt>
                <c:pt idx="12">
                  <c:v>4.0999999999999996</c:v>
                </c:pt>
                <c:pt idx="13">
                  <c:v>2.5</c:v>
                </c:pt>
                <c:pt idx="14">
                  <c:v>-1.1000000000000001</c:v>
                </c:pt>
                <c:pt idx="15">
                  <c:v>0.8</c:v>
                </c:pt>
                <c:pt idx="16">
                  <c:v>-0.1</c:v>
                </c:pt>
                <c:pt idx="17">
                  <c:v>-0.6</c:v>
                </c:pt>
                <c:pt idx="18">
                  <c:v>2.2000000000000002</c:v>
                </c:pt>
                <c:pt idx="19">
                  <c:v>3.1</c:v>
                </c:pt>
                <c:pt idx="20">
                  <c:v>1.8</c:v>
                </c:pt>
                <c:pt idx="21">
                  <c:v>-1.3</c:v>
                </c:pt>
                <c:pt idx="22">
                  <c:v>4.8</c:v>
                </c:pt>
                <c:pt idx="23">
                  <c:v>25.4</c:v>
                </c:pt>
                <c:pt idx="24">
                  <c:v>10.199999999999999</c:v>
                </c:pt>
                <c:pt idx="25">
                  <c:v>0.5</c:v>
                </c:pt>
              </c:numCache>
            </c:numRef>
          </c:val>
          <c:extLst>
            <c:ext xmlns:c16="http://schemas.microsoft.com/office/drawing/2014/chart" uri="{C3380CC4-5D6E-409C-BE32-E72D297353CC}">
              <c16:uniqueId val="{00000001-C947-4933-9DB1-717898550858}"/>
            </c:ext>
          </c:extLst>
        </c:ser>
        <c:dLbls>
          <c:showLegendKey val="0"/>
          <c:showVal val="0"/>
          <c:showCatName val="0"/>
          <c:showSerName val="0"/>
          <c:showPercent val="0"/>
          <c:showBubbleSize val="0"/>
        </c:dLbls>
        <c:axId val="1963490240"/>
        <c:axId val="1963488320"/>
      </c:areaChart>
      <c:catAx>
        <c:axId val="1963490240"/>
        <c:scaling>
          <c:orientation val="minMax"/>
        </c:scaling>
        <c:delete val="0"/>
        <c:axPos val="b"/>
        <c:numFmt formatCode="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4">
                    <a:lumMod val="60000"/>
                    <a:lumOff val="40000"/>
                  </a:schemeClr>
                </a:solidFill>
                <a:latin typeface="+mn-lt"/>
                <a:ea typeface="+mn-ea"/>
                <a:cs typeface="+mn-cs"/>
              </a:defRPr>
            </a:pPr>
            <a:endParaRPr lang="en-US"/>
          </a:p>
        </c:txPr>
        <c:crossAx val="1963488320"/>
        <c:crosses val="autoZero"/>
        <c:auto val="1"/>
        <c:lblAlgn val="ctr"/>
        <c:lblOffset val="100"/>
        <c:noMultiLvlLbl val="0"/>
      </c:catAx>
      <c:valAx>
        <c:axId val="1963488320"/>
        <c:scaling>
          <c:orientation val="minMax"/>
        </c:scaling>
        <c:delete val="0"/>
        <c:axPos val="l"/>
        <c:majorGridlines>
          <c:spPr>
            <a:ln w="9525" cap="flat" cmpd="sng" algn="ctr">
              <a:solidFill>
                <a:schemeClr val="bg2">
                  <a:lumMod val="50000"/>
                  <a:alpha val="71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60000"/>
                    <a:lumOff val="40000"/>
                  </a:schemeClr>
                </a:solidFill>
                <a:latin typeface="+mn-lt"/>
                <a:ea typeface="+mn-ea"/>
                <a:cs typeface="+mn-cs"/>
              </a:defRPr>
            </a:pPr>
            <a:endParaRPr lang="en-US"/>
          </a:p>
        </c:txPr>
        <c:crossAx val="196349024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explosion val="13"/>
            <c:spPr>
              <a:solidFill>
                <a:srgbClr val="0093CE"/>
              </a:solidFill>
              <a:ln w="12700">
                <a:solidFill>
                  <a:srgbClr val="FF00FF">
                    <a:alpha val="23000"/>
                  </a:srgb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2A3-4C60-B465-28B08BDB2279}"/>
              </c:ext>
            </c:extLst>
          </c:dPt>
          <c:dPt>
            <c:idx val="1"/>
            <c:bubble3D val="0"/>
            <c:spPr>
              <a:solidFill>
                <a:srgbClr val="CEC5FF"/>
              </a:solidFill>
              <a:ln>
                <a:solidFill>
                  <a:srgbClr val="FF00FF">
                    <a:alpha val="25000"/>
                  </a:srgb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2A3-4C60-B465-28B08BDB2279}"/>
              </c:ext>
            </c:extLst>
          </c:dPt>
          <c:dPt>
            <c:idx val="2"/>
            <c:bubble3D val="0"/>
            <c:spPr>
              <a:solidFill>
                <a:srgbClr val="4641D1"/>
              </a:solidFill>
              <a:ln w="12700">
                <a:solidFill>
                  <a:srgbClr val="FF00FF">
                    <a:alpha val="25000"/>
                  </a:srgb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2A3-4C60-B465-28B08BDB2279}"/>
              </c:ext>
            </c:extLst>
          </c:dPt>
          <c:dPt>
            <c:idx val="3"/>
            <c:bubble3D val="0"/>
            <c:spPr>
              <a:solidFill>
                <a:srgbClr val="1B2399"/>
              </a:solidFill>
              <a:ln w="12700">
                <a:solidFill>
                  <a:srgbClr val="FF00FF">
                    <a:alpha val="25000"/>
                  </a:srgb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2A3-4C60-B465-28B08BDB2279}"/>
              </c:ext>
            </c:extLst>
          </c:dPt>
          <c:dPt>
            <c:idx val="4"/>
            <c:bubble3D val="0"/>
            <c:spPr>
              <a:solidFill>
                <a:srgbClr val="2C3076"/>
              </a:solidFill>
              <a:ln w="12700">
                <a:solidFill>
                  <a:srgbClr val="FF00FF">
                    <a:alpha val="25000"/>
                  </a:srgb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2A3-4C60-B465-28B08BDB2279}"/>
              </c:ext>
            </c:extLst>
          </c:dPt>
          <c:dLbls>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bg1"/>
                    </a:solidFill>
                    <a:effectLst>
                      <a:glow rad="101600">
                        <a:srgbClr val="1B2399">
                          <a:alpha val="40000"/>
                        </a:srgbClr>
                      </a:glow>
                    </a:effectLst>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Processing!$AY$1:$AY$5</c:f>
              <c:strCache>
                <c:ptCount val="5"/>
                <c:pt idx="0">
                  <c:v>PPI</c:v>
                </c:pt>
                <c:pt idx="1">
                  <c:v>Headline</c:v>
                </c:pt>
                <c:pt idx="2">
                  <c:v>Core</c:v>
                </c:pt>
                <c:pt idx="3">
                  <c:v>Food</c:v>
                </c:pt>
                <c:pt idx="4">
                  <c:v>Non-Food</c:v>
                </c:pt>
              </c:strCache>
            </c:strRef>
          </c:cat>
          <c:val>
            <c:numRef>
              <c:f>Processing!$AZ$1:$AZ$5</c:f>
              <c:numCache>
                <c:formatCode>General</c:formatCode>
                <c:ptCount val="5"/>
                <c:pt idx="0">
                  <c:v>8.5</c:v>
                </c:pt>
                <c:pt idx="1">
                  <c:v>6.75</c:v>
                </c:pt>
                <c:pt idx="2">
                  <c:v>5.0999999999999996</c:v>
                </c:pt>
                <c:pt idx="3">
                  <c:v>8.8000000000000007</c:v>
                </c:pt>
                <c:pt idx="4">
                  <c:v>5.9</c:v>
                </c:pt>
              </c:numCache>
            </c:numRef>
          </c:val>
          <c:extLst>
            <c:ext xmlns:c16="http://schemas.microsoft.com/office/drawing/2014/chart" uri="{C3380CC4-5D6E-409C-BE32-E72D297353CC}">
              <c16:uniqueId val="{0000000A-32A3-4C60-B465-28B08BDB2279}"/>
            </c:ext>
          </c:extLst>
        </c:ser>
        <c:dLbls>
          <c:showLegendKey val="0"/>
          <c:showVal val="1"/>
          <c:showCatName val="0"/>
          <c:showSerName val="0"/>
          <c:showPercent val="0"/>
          <c:showBubbleSize val="0"/>
          <c:showLeaderLines val="1"/>
        </c:dLbls>
        <c:firstSliceAng val="0"/>
        <c:holeSize val="53"/>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523882481565927"/>
          <c:y val="0.20490141690565486"/>
          <c:w val="0.44007792272372043"/>
          <c:h val="0.73346314977596971"/>
        </c:manualLayout>
      </c:layout>
      <c:doughnutChart>
        <c:varyColors val="1"/>
        <c:ser>
          <c:idx val="0"/>
          <c:order val="0"/>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2534-40A6-93BD-5150F0CB6763}"/>
            </c:ext>
          </c:extLst>
        </c:ser>
        <c:ser>
          <c:idx val="1"/>
          <c:order val="1"/>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2534-40A6-93BD-5150F0CB6763}"/>
            </c:ext>
          </c:extLst>
        </c:ser>
        <c:ser>
          <c:idx val="2"/>
          <c:order val="2"/>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2-2534-40A6-93BD-5150F0CB6763}"/>
            </c:ext>
          </c:extLst>
        </c:ser>
        <c:ser>
          <c:idx val="3"/>
          <c:order val="3"/>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3-2534-40A6-93BD-5150F0CB6763}"/>
            </c:ext>
          </c:extLst>
        </c:ser>
        <c:ser>
          <c:idx val="4"/>
          <c:order val="4"/>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4-2534-40A6-93BD-5150F0CB6763}"/>
            </c:ext>
          </c:extLst>
        </c:ser>
        <c:dLbls>
          <c:showLegendKey val="0"/>
          <c:showVal val="0"/>
          <c:showCatName val="0"/>
          <c:showSerName val="0"/>
          <c:showPercent val="0"/>
          <c:showBubbleSize val="0"/>
          <c:showLeaderLines val="1"/>
        </c:dLbls>
        <c:firstSliceAng val="270"/>
        <c:holeSize val="29"/>
      </c:doughnutChart>
    </c:plotArea>
    <c:legend>
      <c:legendPos val="b"/>
      <c:layout>
        <c:manualLayout>
          <c:xMode val="edge"/>
          <c:yMode val="edge"/>
          <c:x val="0.17197138434470516"/>
          <c:y val="0.58196497320513063"/>
          <c:w val="0.66815581289747472"/>
          <c:h val="8.0197188957031471E-2"/>
        </c:manualLayout>
      </c:layout>
      <c:overlay val="0"/>
      <c:txPr>
        <a:bodyPr/>
        <a:lstStyle/>
        <a:p>
          <a:pPr rtl="0">
            <a:defRPr sz="800">
              <a:solidFill>
                <a:schemeClr val="tx2">
                  <a:lumMod val="25000"/>
                  <a:lumOff val="75000"/>
                </a:schemeClr>
              </a:solidFill>
            </a:defRPr>
          </a:pPr>
          <a:endParaRPr lang="ru-RU"/>
        </a:p>
      </c:txPr>
    </c:legend>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Processing!$BC$1</c:f>
              <c:strCache>
                <c:ptCount val="1"/>
                <c:pt idx="0">
                  <c:v>Unemployment_Rate</c:v>
                </c:pt>
              </c:strCache>
            </c:strRef>
          </c:tx>
          <c:spPr>
            <a:ln w="28575" cap="rnd">
              <a:solidFill>
                <a:srgbClr val="FFFF00"/>
              </a:solidFill>
              <a:round/>
            </a:ln>
            <a:effectLst/>
          </c:spPr>
          <c:marker>
            <c:symbol val="none"/>
          </c:marker>
          <c:cat>
            <c:numRef>
              <c:f>Processing!$BB$2:$BB$27</c:f>
              <c:numCache>
                <c:formatCode>0</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Processing!$BC$2:$BC$27</c:f>
              <c:numCache>
                <c:formatCode>General</c:formatCode>
                <c:ptCount val="26"/>
                <c:pt idx="0">
                  <c:v>13.79</c:v>
                </c:pt>
                <c:pt idx="1">
                  <c:v>14.21</c:v>
                </c:pt>
                <c:pt idx="2">
                  <c:v>13.82</c:v>
                </c:pt>
                <c:pt idx="3">
                  <c:v>13.83</c:v>
                </c:pt>
                <c:pt idx="4">
                  <c:v>12.06</c:v>
                </c:pt>
                <c:pt idx="5">
                  <c:v>11.71</c:v>
                </c:pt>
                <c:pt idx="6">
                  <c:v>10.029999999999999</c:v>
                </c:pt>
                <c:pt idx="7">
                  <c:v>7.03</c:v>
                </c:pt>
                <c:pt idx="8">
                  <c:v>6.05</c:v>
                </c:pt>
                <c:pt idx="9">
                  <c:v>7.74</c:v>
                </c:pt>
                <c:pt idx="10">
                  <c:v>17.52</c:v>
                </c:pt>
                <c:pt idx="11">
                  <c:v>19.48</c:v>
                </c:pt>
                <c:pt idx="12">
                  <c:v>16.21</c:v>
                </c:pt>
                <c:pt idx="13">
                  <c:v>15.05</c:v>
                </c:pt>
                <c:pt idx="14">
                  <c:v>11.87</c:v>
                </c:pt>
                <c:pt idx="15">
                  <c:v>10.85</c:v>
                </c:pt>
                <c:pt idx="16">
                  <c:v>9.8699999999999992</c:v>
                </c:pt>
                <c:pt idx="17">
                  <c:v>9.64</c:v>
                </c:pt>
                <c:pt idx="18">
                  <c:v>8.7200000000000006</c:v>
                </c:pt>
                <c:pt idx="19">
                  <c:v>7.41</c:v>
                </c:pt>
                <c:pt idx="20">
                  <c:v>6.31</c:v>
                </c:pt>
                <c:pt idx="21">
                  <c:v>8.1</c:v>
                </c:pt>
                <c:pt idx="22">
                  <c:v>7.51</c:v>
                </c:pt>
                <c:pt idx="23">
                  <c:v>6.82</c:v>
                </c:pt>
                <c:pt idx="24">
                  <c:v>6.47</c:v>
                </c:pt>
                <c:pt idx="25">
                  <c:v>6.72</c:v>
                </c:pt>
              </c:numCache>
            </c:numRef>
          </c:val>
          <c:smooth val="0"/>
          <c:extLst>
            <c:ext xmlns:c16="http://schemas.microsoft.com/office/drawing/2014/chart" uri="{C3380CC4-5D6E-409C-BE32-E72D297353CC}">
              <c16:uniqueId val="{00000000-1628-4A35-A3AF-493A0DB22FF6}"/>
            </c:ext>
          </c:extLst>
        </c:ser>
        <c:ser>
          <c:idx val="1"/>
          <c:order val="1"/>
          <c:tx>
            <c:strRef>
              <c:f>Processing!$BD$1</c:f>
              <c:strCache>
                <c:ptCount val="1"/>
                <c:pt idx="0">
                  <c:v>Labour_Force_Part_Rate</c:v>
                </c:pt>
              </c:strCache>
            </c:strRef>
          </c:tx>
          <c:spPr>
            <a:ln w="28575" cap="rnd">
              <a:solidFill>
                <a:srgbClr val="FF0000"/>
              </a:solidFill>
              <a:round/>
            </a:ln>
            <a:effectLst/>
          </c:spPr>
          <c:marker>
            <c:symbol val="none"/>
          </c:marker>
          <c:cat>
            <c:numRef>
              <c:f>Processing!$BB$2:$BB$27</c:f>
              <c:numCache>
                <c:formatCode>0</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Processing!$BD$2:$BD$27</c:f>
              <c:numCache>
                <c:formatCode>General</c:formatCode>
                <c:ptCount val="26"/>
                <c:pt idx="0">
                  <c:v>42.32</c:v>
                </c:pt>
                <c:pt idx="1">
                  <c:v>38.44</c:v>
                </c:pt>
                <c:pt idx="2">
                  <c:v>37.4</c:v>
                </c:pt>
                <c:pt idx="3">
                  <c:v>37.85</c:v>
                </c:pt>
                <c:pt idx="4">
                  <c:v>38.869999999999997</c:v>
                </c:pt>
                <c:pt idx="5">
                  <c:v>36.97</c:v>
                </c:pt>
                <c:pt idx="6">
                  <c:v>38.049999999999997</c:v>
                </c:pt>
                <c:pt idx="7">
                  <c:v>40.9</c:v>
                </c:pt>
                <c:pt idx="8">
                  <c:v>42.64</c:v>
                </c:pt>
                <c:pt idx="9">
                  <c:v>42.87</c:v>
                </c:pt>
                <c:pt idx="10">
                  <c:v>41.25</c:v>
                </c:pt>
                <c:pt idx="11">
                  <c:v>39.75</c:v>
                </c:pt>
                <c:pt idx="12">
                  <c:v>37.479999999999997</c:v>
                </c:pt>
                <c:pt idx="13">
                  <c:v>40.15</c:v>
                </c:pt>
                <c:pt idx="14">
                  <c:v>39.369999999999997</c:v>
                </c:pt>
                <c:pt idx="15">
                  <c:v>40.43</c:v>
                </c:pt>
                <c:pt idx="16">
                  <c:v>41.29</c:v>
                </c:pt>
                <c:pt idx="17">
                  <c:v>39.700000000000003</c:v>
                </c:pt>
                <c:pt idx="18">
                  <c:v>39.76</c:v>
                </c:pt>
                <c:pt idx="19">
                  <c:v>37.729999999999997</c:v>
                </c:pt>
                <c:pt idx="20">
                  <c:v>36.299999999999997</c:v>
                </c:pt>
                <c:pt idx="21">
                  <c:v>34.840000000000003</c:v>
                </c:pt>
                <c:pt idx="22">
                  <c:v>32.71</c:v>
                </c:pt>
                <c:pt idx="23">
                  <c:v>36.14</c:v>
                </c:pt>
                <c:pt idx="24">
                  <c:v>34.94</c:v>
                </c:pt>
                <c:pt idx="25">
                  <c:v>34.700000000000003</c:v>
                </c:pt>
              </c:numCache>
            </c:numRef>
          </c:val>
          <c:smooth val="0"/>
          <c:extLst>
            <c:ext xmlns:c16="http://schemas.microsoft.com/office/drawing/2014/chart" uri="{C3380CC4-5D6E-409C-BE32-E72D297353CC}">
              <c16:uniqueId val="{00000001-1628-4A35-A3AF-493A0DB22FF6}"/>
            </c:ext>
          </c:extLst>
        </c:ser>
        <c:ser>
          <c:idx val="2"/>
          <c:order val="2"/>
          <c:tx>
            <c:strRef>
              <c:f>Processing!$BE$1</c:f>
              <c:strCache>
                <c:ptCount val="1"/>
                <c:pt idx="0">
                  <c:v>Female_LFPR</c:v>
                </c:pt>
              </c:strCache>
            </c:strRef>
          </c:tx>
          <c:spPr>
            <a:ln w="28575" cap="rnd">
              <a:solidFill>
                <a:srgbClr val="00B050"/>
              </a:solidFill>
              <a:round/>
            </a:ln>
            <a:effectLst/>
          </c:spPr>
          <c:marker>
            <c:symbol val="none"/>
          </c:marker>
          <c:cat>
            <c:numRef>
              <c:f>Processing!$BB$2:$BB$27</c:f>
              <c:numCache>
                <c:formatCode>0</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Processing!$BE$2:$BE$27</c:f>
              <c:numCache>
                <c:formatCode>General</c:formatCode>
                <c:ptCount val="26"/>
                <c:pt idx="0">
                  <c:v>47.59</c:v>
                </c:pt>
                <c:pt idx="1">
                  <c:v>48.04</c:v>
                </c:pt>
                <c:pt idx="2">
                  <c:v>48.77</c:v>
                </c:pt>
                <c:pt idx="3">
                  <c:v>48.74</c:v>
                </c:pt>
                <c:pt idx="4">
                  <c:v>48.94</c:v>
                </c:pt>
                <c:pt idx="5">
                  <c:v>48.54</c:v>
                </c:pt>
                <c:pt idx="6">
                  <c:v>48.49</c:v>
                </c:pt>
                <c:pt idx="7">
                  <c:v>48.47</c:v>
                </c:pt>
                <c:pt idx="8">
                  <c:v>48.29</c:v>
                </c:pt>
                <c:pt idx="9">
                  <c:v>48.98</c:v>
                </c:pt>
                <c:pt idx="10">
                  <c:v>49.8</c:v>
                </c:pt>
                <c:pt idx="11">
                  <c:v>50.39</c:v>
                </c:pt>
                <c:pt idx="12">
                  <c:v>49.94</c:v>
                </c:pt>
                <c:pt idx="13">
                  <c:v>50.01</c:v>
                </c:pt>
                <c:pt idx="14">
                  <c:v>49.99</c:v>
                </c:pt>
                <c:pt idx="15">
                  <c:v>49.59</c:v>
                </c:pt>
                <c:pt idx="16">
                  <c:v>49.56</c:v>
                </c:pt>
                <c:pt idx="17">
                  <c:v>50.08</c:v>
                </c:pt>
                <c:pt idx="18">
                  <c:v>49.89</c:v>
                </c:pt>
                <c:pt idx="19">
                  <c:v>49.89</c:v>
                </c:pt>
                <c:pt idx="20">
                  <c:v>49.85</c:v>
                </c:pt>
                <c:pt idx="21">
                  <c:v>49.73</c:v>
                </c:pt>
                <c:pt idx="22">
                  <c:v>49.39</c:v>
                </c:pt>
                <c:pt idx="23">
                  <c:v>49.67</c:v>
                </c:pt>
                <c:pt idx="24">
                  <c:v>49.7</c:v>
                </c:pt>
                <c:pt idx="25">
                  <c:v>49.84</c:v>
                </c:pt>
              </c:numCache>
            </c:numRef>
          </c:val>
          <c:smooth val="0"/>
          <c:extLst>
            <c:ext xmlns:c16="http://schemas.microsoft.com/office/drawing/2014/chart" uri="{C3380CC4-5D6E-409C-BE32-E72D297353CC}">
              <c16:uniqueId val="{00000002-1628-4A35-A3AF-493A0DB22FF6}"/>
            </c:ext>
          </c:extLst>
        </c:ser>
        <c:dLbls>
          <c:showLegendKey val="0"/>
          <c:showVal val="0"/>
          <c:showCatName val="0"/>
          <c:showSerName val="0"/>
          <c:showPercent val="0"/>
          <c:showBubbleSize val="0"/>
        </c:dLbls>
        <c:smooth val="0"/>
        <c:axId val="512850944"/>
        <c:axId val="512847584"/>
      </c:lineChart>
      <c:catAx>
        <c:axId val="512850944"/>
        <c:scaling>
          <c:orientation val="minMax"/>
        </c:scaling>
        <c:delete val="0"/>
        <c:axPos val="b"/>
        <c:minorGridlines>
          <c:spPr>
            <a:ln w="9525" cap="flat" cmpd="sng" algn="ctr">
              <a:solidFill>
                <a:schemeClr val="bg2">
                  <a:lumMod val="50000"/>
                  <a:alpha val="40000"/>
                </a:schemeClr>
              </a:solidFill>
              <a:round/>
            </a:ln>
            <a:effectLst/>
          </c:spPr>
        </c:minorGridlines>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accent4">
                    <a:lumMod val="60000"/>
                    <a:lumOff val="40000"/>
                  </a:schemeClr>
                </a:solidFill>
                <a:latin typeface="+mn-lt"/>
                <a:ea typeface="+mn-ea"/>
                <a:cs typeface="+mn-cs"/>
              </a:defRPr>
            </a:pPr>
            <a:endParaRPr lang="en-US"/>
          </a:p>
        </c:txPr>
        <c:crossAx val="512847584"/>
        <c:crosses val="autoZero"/>
        <c:auto val="1"/>
        <c:lblAlgn val="ctr"/>
        <c:lblOffset val="100"/>
        <c:noMultiLvlLbl val="0"/>
      </c:catAx>
      <c:valAx>
        <c:axId val="512847584"/>
        <c:scaling>
          <c:orientation val="minMax"/>
        </c:scaling>
        <c:delete val="0"/>
        <c:axPos val="l"/>
        <c:majorGridlines>
          <c:spPr>
            <a:ln w="9525" cap="flat" cmpd="sng" algn="ctr">
              <a:solidFill>
                <a:schemeClr val="bg2">
                  <a:lumMod val="50000"/>
                  <a:alpha val="62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4">
                    <a:lumMod val="60000"/>
                    <a:lumOff val="40000"/>
                  </a:schemeClr>
                </a:solidFill>
                <a:latin typeface="+mn-lt"/>
                <a:ea typeface="+mn-ea"/>
                <a:cs typeface="+mn-cs"/>
              </a:defRPr>
            </a:pPr>
            <a:endParaRPr lang="en-US"/>
          </a:p>
        </c:txPr>
        <c:crossAx val="512850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gradFill>
                <a:gsLst>
                  <a:gs pos="93000">
                    <a:srgbClr val="0575F1"/>
                  </a:gs>
                  <a:gs pos="0">
                    <a:srgbClr val="7C93FD">
                      <a:lumMod val="100000"/>
                    </a:srgbClr>
                  </a:gs>
                </a:gsLst>
                <a:lin ang="5400000" scaled="0"/>
              </a:gradFill>
              <a:ln>
                <a:noFill/>
              </a:ln>
              <a:effectLst/>
            </c:spPr>
            <c:extLst>
              <c:ext xmlns:c16="http://schemas.microsoft.com/office/drawing/2014/chart" uri="{C3380CC4-5D6E-409C-BE32-E72D297353CC}">
                <c16:uniqueId val="{00000003-392D-45E9-A7A2-D2779B08D936}"/>
              </c:ext>
            </c:extLst>
          </c:dPt>
          <c:dPt>
            <c:idx val="1"/>
            <c:invertIfNegative val="0"/>
            <c:bubble3D val="0"/>
            <c:spPr>
              <a:gradFill>
                <a:gsLst>
                  <a:gs pos="0">
                    <a:srgbClr val="0575F1"/>
                  </a:gs>
                  <a:gs pos="82000">
                    <a:srgbClr val="333787"/>
                  </a:gs>
                </a:gsLst>
                <a:lin ang="5400000" scaled="0"/>
              </a:gradFill>
              <a:ln>
                <a:noFill/>
              </a:ln>
              <a:effectLst/>
            </c:spPr>
            <c:extLst>
              <c:ext xmlns:c16="http://schemas.microsoft.com/office/drawing/2014/chart" uri="{C3380CC4-5D6E-409C-BE32-E72D297353CC}">
                <c16:uniqueId val="{00000002-392D-45E9-A7A2-D2779B08D936}"/>
              </c:ext>
            </c:extLst>
          </c:dPt>
          <c:dPt>
            <c:idx val="2"/>
            <c:invertIfNegative val="0"/>
            <c:bubble3D val="0"/>
            <c:spPr>
              <a:gradFill>
                <a:gsLst>
                  <a:gs pos="87000">
                    <a:schemeClr val="accent5">
                      <a:lumMod val="75000"/>
                    </a:schemeClr>
                  </a:gs>
                  <a:gs pos="0">
                    <a:srgbClr val="FF00FF"/>
                  </a:gs>
                </a:gsLst>
                <a:lin ang="5400000" scaled="0"/>
              </a:gradFill>
              <a:ln>
                <a:noFill/>
              </a:ln>
              <a:effectLst/>
            </c:spPr>
            <c:extLst>
              <c:ext xmlns:c16="http://schemas.microsoft.com/office/drawing/2014/chart" uri="{C3380CC4-5D6E-409C-BE32-E72D297353CC}">
                <c16:uniqueId val="{00000001-392D-45E9-A7A2-D2779B08D936}"/>
              </c:ext>
            </c:extLst>
          </c:dPt>
          <c:dLbls>
            <c:spPr>
              <a:noFill/>
              <a:ln>
                <a:noFill/>
              </a:ln>
              <a:effectLst/>
            </c:spPr>
            <c:txPr>
              <a:bodyPr rot="0" spcFirstLastPara="1" vertOverflow="ellipsis" vert="horz" wrap="square" lIns="38100" tIns="19050" rIns="38100" bIns="19050" anchor="ctr" anchorCtr="1">
                <a:spAutoFit/>
              </a:bodyPr>
              <a:lstStyle/>
              <a:p>
                <a:pPr>
                  <a:defRPr sz="1600" b="0" i="1"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Processing!$BF$1:$BH$1</c:f>
              <c:strCache>
                <c:ptCount val="3"/>
                <c:pt idx="0">
                  <c:v>Male_Wage_Growth</c:v>
                </c:pt>
                <c:pt idx="1">
                  <c:v>Female_Wage_Growth</c:v>
                </c:pt>
                <c:pt idx="2">
                  <c:v>Wage Gap</c:v>
                </c:pt>
              </c:strCache>
            </c:strRef>
          </c:cat>
          <c:val>
            <c:numRef>
              <c:f>Processing!$BF$2:$BH$2</c:f>
              <c:numCache>
                <c:formatCode>General</c:formatCode>
                <c:ptCount val="3"/>
                <c:pt idx="0">
                  <c:v>87.79</c:v>
                </c:pt>
                <c:pt idx="1">
                  <c:v>82.97</c:v>
                </c:pt>
                <c:pt idx="2">
                  <c:v>4.8200000000000074</c:v>
                </c:pt>
              </c:numCache>
            </c:numRef>
          </c:val>
          <c:extLst>
            <c:ext xmlns:c16="http://schemas.microsoft.com/office/drawing/2014/chart" uri="{C3380CC4-5D6E-409C-BE32-E72D297353CC}">
              <c16:uniqueId val="{00000000-392D-45E9-A7A2-D2779B08D936}"/>
            </c:ext>
          </c:extLst>
        </c:ser>
        <c:dLbls>
          <c:dLblPos val="inEnd"/>
          <c:showLegendKey val="0"/>
          <c:showVal val="1"/>
          <c:showCatName val="0"/>
          <c:showSerName val="0"/>
          <c:showPercent val="0"/>
          <c:showBubbleSize val="0"/>
        </c:dLbls>
        <c:gapWidth val="41"/>
        <c:axId val="1745076336"/>
        <c:axId val="1745076816"/>
      </c:barChart>
      <c:catAx>
        <c:axId val="1745076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accent4">
                    <a:lumMod val="60000"/>
                    <a:lumOff val="40000"/>
                  </a:schemeClr>
                </a:solidFill>
                <a:latin typeface="+mn-lt"/>
                <a:ea typeface="+mn-ea"/>
                <a:cs typeface="+mn-cs"/>
              </a:defRPr>
            </a:pPr>
            <a:endParaRPr lang="en-US"/>
          </a:p>
        </c:txPr>
        <c:crossAx val="1745076816"/>
        <c:crosses val="autoZero"/>
        <c:auto val="1"/>
        <c:lblAlgn val="ctr"/>
        <c:lblOffset val="100"/>
        <c:noMultiLvlLbl val="0"/>
      </c:catAx>
      <c:valAx>
        <c:axId val="1745076816"/>
        <c:scaling>
          <c:orientation val="minMax"/>
        </c:scaling>
        <c:delete val="0"/>
        <c:axPos val="b"/>
        <c:majorGridlines>
          <c:spPr>
            <a:ln w="9525" cap="flat" cmpd="sng" algn="ctr">
              <a:solidFill>
                <a:schemeClr val="bg2">
                  <a:lumMod val="50000"/>
                  <a:alpha val="71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accent4">
                    <a:lumMod val="60000"/>
                    <a:lumOff val="40000"/>
                  </a:schemeClr>
                </a:solidFill>
                <a:latin typeface="+mn-lt"/>
                <a:ea typeface="+mn-ea"/>
                <a:cs typeface="+mn-cs"/>
              </a:defRPr>
            </a:pPr>
            <a:endParaRPr lang="en-US"/>
          </a:p>
        </c:txPr>
        <c:crossAx val="174507633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523882481565927"/>
          <c:y val="0.20490141690565486"/>
          <c:w val="0.44007792272372043"/>
          <c:h val="0.73346314977596971"/>
        </c:manualLayout>
      </c:layout>
      <c:doughnutChart>
        <c:varyColors val="1"/>
        <c:ser>
          <c:idx val="0"/>
          <c:order val="0"/>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5A79-4AC8-865E-7D90F58AAD8B}"/>
            </c:ext>
          </c:extLst>
        </c:ser>
        <c:ser>
          <c:idx val="1"/>
          <c:order val="1"/>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5A79-4AC8-865E-7D90F58AAD8B}"/>
            </c:ext>
          </c:extLst>
        </c:ser>
        <c:ser>
          <c:idx val="2"/>
          <c:order val="2"/>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2-5A79-4AC8-865E-7D90F58AAD8B}"/>
            </c:ext>
          </c:extLst>
        </c:ser>
        <c:ser>
          <c:idx val="3"/>
          <c:order val="3"/>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3-5A79-4AC8-865E-7D90F58AAD8B}"/>
            </c:ext>
          </c:extLst>
        </c:ser>
        <c:ser>
          <c:idx val="4"/>
          <c:order val="4"/>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4-5A79-4AC8-865E-7D90F58AAD8B}"/>
            </c:ext>
          </c:extLst>
        </c:ser>
        <c:dLbls>
          <c:showLegendKey val="0"/>
          <c:showVal val="0"/>
          <c:showCatName val="0"/>
          <c:showSerName val="0"/>
          <c:showPercent val="0"/>
          <c:showBubbleSize val="0"/>
          <c:showLeaderLines val="1"/>
        </c:dLbls>
        <c:firstSliceAng val="270"/>
        <c:holeSize val="29"/>
      </c:doughnutChart>
    </c:plotArea>
    <c:legend>
      <c:legendPos val="b"/>
      <c:layout>
        <c:manualLayout>
          <c:xMode val="edge"/>
          <c:yMode val="edge"/>
          <c:x val="0.17197138434470516"/>
          <c:y val="0.58196497320513063"/>
          <c:w val="0.66815581289747472"/>
          <c:h val="8.0197188957031471E-2"/>
        </c:manualLayout>
      </c:layout>
      <c:overlay val="0"/>
      <c:txPr>
        <a:bodyPr/>
        <a:lstStyle/>
        <a:p>
          <a:pPr rtl="0">
            <a:defRPr sz="800">
              <a:solidFill>
                <a:schemeClr val="tx2">
                  <a:lumMod val="25000"/>
                  <a:lumOff val="75000"/>
                </a:schemeClr>
              </a:solidFill>
            </a:defRPr>
          </a:pPr>
          <a:endParaRPr lang="ru-RU"/>
        </a:p>
      </c:txPr>
    </c:legend>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Processing!$BK$1</c:f>
              <c:strCache>
                <c:ptCount val="1"/>
                <c:pt idx="0">
                  <c:v>Exports</c:v>
                </c:pt>
              </c:strCache>
            </c:strRef>
          </c:tx>
          <c:spPr>
            <a:ln w="25400" cap="rnd">
              <a:solidFill>
                <a:schemeClr val="accent3">
                  <a:lumMod val="60000"/>
                  <a:lumOff val="40000"/>
                </a:schemeClr>
              </a:solidFill>
              <a:round/>
            </a:ln>
            <a:effectLst/>
          </c:spPr>
          <c:marker>
            <c:symbol val="circle"/>
            <c:size val="6"/>
            <c:spPr>
              <a:solidFill>
                <a:schemeClr val="bg1"/>
              </a:solidFill>
              <a:ln w="9525">
                <a:solidFill>
                  <a:schemeClr val="accent3">
                    <a:lumMod val="60000"/>
                    <a:lumOff val="40000"/>
                  </a:schemeClr>
                </a:solidFill>
              </a:ln>
              <a:effectLst/>
            </c:spPr>
          </c:marker>
          <c:xVal>
            <c:numRef>
              <c:f>Processing!$BJ$2:$BJ$27</c:f>
              <c:numCache>
                <c:formatCode>0</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xVal>
          <c:yVal>
            <c:numRef>
              <c:f>Processing!$BK$2:$BK$27</c:f>
              <c:numCache>
                <c:formatCode>General</c:formatCode>
                <c:ptCount val="26"/>
                <c:pt idx="0">
                  <c:v>36.03</c:v>
                </c:pt>
                <c:pt idx="1">
                  <c:v>37.72</c:v>
                </c:pt>
                <c:pt idx="2">
                  <c:v>38.799999999999997</c:v>
                </c:pt>
                <c:pt idx="3">
                  <c:v>37.76</c:v>
                </c:pt>
                <c:pt idx="4">
                  <c:v>37.74</c:v>
                </c:pt>
                <c:pt idx="5">
                  <c:v>40.630000000000003</c:v>
                </c:pt>
                <c:pt idx="6">
                  <c:v>44.81</c:v>
                </c:pt>
                <c:pt idx="7">
                  <c:v>41.95</c:v>
                </c:pt>
                <c:pt idx="8">
                  <c:v>40.39</c:v>
                </c:pt>
                <c:pt idx="9">
                  <c:v>41.23</c:v>
                </c:pt>
                <c:pt idx="10">
                  <c:v>43.4</c:v>
                </c:pt>
                <c:pt idx="11">
                  <c:v>54.37</c:v>
                </c:pt>
                <c:pt idx="12">
                  <c:v>61.8</c:v>
                </c:pt>
                <c:pt idx="13">
                  <c:v>63.83</c:v>
                </c:pt>
                <c:pt idx="14">
                  <c:v>62.58</c:v>
                </c:pt>
                <c:pt idx="15">
                  <c:v>63.57</c:v>
                </c:pt>
                <c:pt idx="16">
                  <c:v>62.6</c:v>
                </c:pt>
                <c:pt idx="17">
                  <c:v>61.93</c:v>
                </c:pt>
                <c:pt idx="18">
                  <c:v>64.14</c:v>
                </c:pt>
                <c:pt idx="19">
                  <c:v>63.87</c:v>
                </c:pt>
                <c:pt idx="20">
                  <c:v>62.54</c:v>
                </c:pt>
                <c:pt idx="21">
                  <c:v>62.66</c:v>
                </c:pt>
                <c:pt idx="22">
                  <c:v>66.81</c:v>
                </c:pt>
                <c:pt idx="23">
                  <c:v>77.48</c:v>
                </c:pt>
                <c:pt idx="24">
                  <c:v>66.459999999999994</c:v>
                </c:pt>
                <c:pt idx="25">
                  <c:v>64.62</c:v>
                </c:pt>
              </c:numCache>
            </c:numRef>
          </c:yVal>
          <c:smooth val="0"/>
          <c:extLst>
            <c:ext xmlns:c16="http://schemas.microsoft.com/office/drawing/2014/chart" uri="{C3380CC4-5D6E-409C-BE32-E72D297353CC}">
              <c16:uniqueId val="{00000000-E2D5-4714-BAEA-E47584F8C471}"/>
            </c:ext>
          </c:extLst>
        </c:ser>
        <c:ser>
          <c:idx val="1"/>
          <c:order val="1"/>
          <c:tx>
            <c:strRef>
              <c:f>Processing!$BL$1</c:f>
              <c:strCache>
                <c:ptCount val="1"/>
                <c:pt idx="0">
                  <c:v>Imports</c:v>
                </c:pt>
              </c:strCache>
            </c:strRef>
          </c:tx>
          <c:spPr>
            <a:ln w="25400" cap="rnd">
              <a:solidFill>
                <a:schemeClr val="accent2"/>
              </a:solidFill>
              <a:round/>
            </a:ln>
            <a:effectLst/>
          </c:spPr>
          <c:marker>
            <c:symbol val="circle"/>
            <c:size val="6"/>
            <c:spPr>
              <a:solidFill>
                <a:schemeClr val="bg1"/>
              </a:solidFill>
              <a:ln w="9525">
                <a:solidFill>
                  <a:schemeClr val="accent2"/>
                </a:solidFill>
              </a:ln>
              <a:effectLst/>
            </c:spPr>
          </c:marker>
          <c:xVal>
            <c:numRef>
              <c:f>Processing!$BJ$2:$BJ$27</c:f>
              <c:numCache>
                <c:formatCode>0</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xVal>
          <c:yVal>
            <c:numRef>
              <c:f>Processing!$BL$2:$BL$27</c:f>
              <c:numCache>
                <c:formatCode>General</c:formatCode>
                <c:ptCount val="26"/>
                <c:pt idx="0">
                  <c:v>82.15</c:v>
                </c:pt>
                <c:pt idx="1">
                  <c:v>83.61</c:v>
                </c:pt>
                <c:pt idx="2">
                  <c:v>88.18</c:v>
                </c:pt>
                <c:pt idx="3">
                  <c:v>85.98</c:v>
                </c:pt>
                <c:pt idx="4">
                  <c:v>88.58</c:v>
                </c:pt>
                <c:pt idx="5">
                  <c:v>97.24</c:v>
                </c:pt>
                <c:pt idx="6">
                  <c:v>104.52</c:v>
                </c:pt>
                <c:pt idx="7">
                  <c:v>105.7</c:v>
                </c:pt>
                <c:pt idx="8">
                  <c:v>100.88</c:v>
                </c:pt>
                <c:pt idx="9">
                  <c:v>95.77</c:v>
                </c:pt>
                <c:pt idx="10">
                  <c:v>88.83</c:v>
                </c:pt>
                <c:pt idx="11">
                  <c:v>110.86</c:v>
                </c:pt>
                <c:pt idx="12">
                  <c:v>129.72999999999999</c:v>
                </c:pt>
                <c:pt idx="13">
                  <c:v>133.21</c:v>
                </c:pt>
                <c:pt idx="14">
                  <c:v>129.68</c:v>
                </c:pt>
                <c:pt idx="15">
                  <c:v>130.04</c:v>
                </c:pt>
                <c:pt idx="16">
                  <c:v>126.38</c:v>
                </c:pt>
                <c:pt idx="17">
                  <c:v>123.33</c:v>
                </c:pt>
                <c:pt idx="18">
                  <c:v>128.71</c:v>
                </c:pt>
                <c:pt idx="19">
                  <c:v>128.22999999999999</c:v>
                </c:pt>
                <c:pt idx="20">
                  <c:v>125.29</c:v>
                </c:pt>
                <c:pt idx="21">
                  <c:v>123.88</c:v>
                </c:pt>
                <c:pt idx="22">
                  <c:v>136.80000000000001</c:v>
                </c:pt>
                <c:pt idx="23">
                  <c:v>159.84</c:v>
                </c:pt>
                <c:pt idx="24">
                  <c:v>136.63</c:v>
                </c:pt>
                <c:pt idx="25">
                  <c:v>67.180000000000007</c:v>
                </c:pt>
              </c:numCache>
            </c:numRef>
          </c:yVal>
          <c:smooth val="0"/>
          <c:extLst>
            <c:ext xmlns:c16="http://schemas.microsoft.com/office/drawing/2014/chart" uri="{C3380CC4-5D6E-409C-BE32-E72D297353CC}">
              <c16:uniqueId val="{00000001-E2D5-4714-BAEA-E47584F8C471}"/>
            </c:ext>
          </c:extLst>
        </c:ser>
        <c:dLbls>
          <c:showLegendKey val="0"/>
          <c:showVal val="0"/>
          <c:showCatName val="0"/>
          <c:showSerName val="0"/>
          <c:showPercent val="0"/>
          <c:showBubbleSize val="0"/>
        </c:dLbls>
        <c:axId val="1153253791"/>
        <c:axId val="1153261471"/>
      </c:scatterChart>
      <c:valAx>
        <c:axId val="1153253791"/>
        <c:scaling>
          <c:orientation val="minMax"/>
        </c:scaling>
        <c:delete val="0"/>
        <c:axPos val="b"/>
        <c:majorGridlines>
          <c:spPr>
            <a:ln w="9525" cap="flat" cmpd="sng" algn="ctr">
              <a:solidFill>
                <a:schemeClr val="bg2">
                  <a:lumMod val="50000"/>
                  <a:alpha val="64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accent4">
                    <a:lumMod val="60000"/>
                    <a:lumOff val="40000"/>
                  </a:schemeClr>
                </a:solidFill>
                <a:latin typeface="+mn-lt"/>
                <a:ea typeface="+mn-ea"/>
                <a:cs typeface="+mn-cs"/>
              </a:defRPr>
            </a:pPr>
            <a:endParaRPr lang="en-US"/>
          </a:p>
        </c:txPr>
        <c:crossAx val="1153261471"/>
        <c:crosses val="autoZero"/>
        <c:crossBetween val="midCat"/>
      </c:valAx>
      <c:valAx>
        <c:axId val="1153261471"/>
        <c:scaling>
          <c:orientation val="minMax"/>
        </c:scaling>
        <c:delete val="0"/>
        <c:axPos val="l"/>
        <c:majorGridlines>
          <c:spPr>
            <a:ln w="9525" cap="flat" cmpd="sng" algn="ctr">
              <a:solidFill>
                <a:schemeClr val="bg2">
                  <a:lumMod val="50000"/>
                  <a:alpha val="64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accent4">
                    <a:lumMod val="60000"/>
                    <a:lumOff val="40000"/>
                  </a:schemeClr>
                </a:solidFill>
                <a:latin typeface="+mn-lt"/>
                <a:ea typeface="+mn-ea"/>
                <a:cs typeface="+mn-cs"/>
              </a:defRPr>
            </a:pPr>
            <a:endParaRPr lang="en-US"/>
          </a:p>
        </c:txPr>
        <c:crossAx val="11532537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Processing!$BO$1</c:f>
              <c:strCache>
                <c:ptCount val="1"/>
                <c:pt idx="0">
                  <c:v>Trade Balance</c:v>
                </c:pt>
              </c:strCache>
            </c:strRef>
          </c:tx>
          <c:spPr>
            <a:gradFill>
              <a:gsLst>
                <a:gs pos="38000">
                  <a:srgbClr val="5D63D1"/>
                </a:gs>
                <a:gs pos="100000">
                  <a:srgbClr val="2E327A"/>
                </a:gs>
                <a:gs pos="0">
                  <a:schemeClr val="accent1">
                    <a:lumMod val="30000"/>
                    <a:lumOff val="70000"/>
                  </a:schemeClr>
                </a:gs>
              </a:gsLst>
              <a:lin ang="8100000" scaled="1"/>
            </a:gradFill>
            <a:ln>
              <a:noFill/>
            </a:ln>
            <a:effectLst/>
          </c:spPr>
          <c:invertIfNegative val="0"/>
          <c:cat>
            <c:numRef>
              <c:f>Processing!$BJ$2:$BJ$27</c:f>
              <c:numCache>
                <c:formatCode>0</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Processing!$BO$2:$BO$27</c:f>
              <c:numCache>
                <c:formatCode>General</c:formatCode>
                <c:ptCount val="26"/>
                <c:pt idx="0">
                  <c:v>-46.120000000000005</c:v>
                </c:pt>
                <c:pt idx="1">
                  <c:v>-45.89</c:v>
                </c:pt>
                <c:pt idx="2">
                  <c:v>-49.38000000000001</c:v>
                </c:pt>
                <c:pt idx="3">
                  <c:v>-48.220000000000006</c:v>
                </c:pt>
                <c:pt idx="4">
                  <c:v>-50.839999999999996</c:v>
                </c:pt>
                <c:pt idx="5">
                  <c:v>-56.609999999999992</c:v>
                </c:pt>
                <c:pt idx="6">
                  <c:v>-59.709999999999994</c:v>
                </c:pt>
                <c:pt idx="7">
                  <c:v>-63.75</c:v>
                </c:pt>
                <c:pt idx="8">
                  <c:v>-60.489999999999995</c:v>
                </c:pt>
                <c:pt idx="9">
                  <c:v>-54.54</c:v>
                </c:pt>
                <c:pt idx="10">
                  <c:v>-45.43</c:v>
                </c:pt>
                <c:pt idx="11">
                  <c:v>-56.49</c:v>
                </c:pt>
                <c:pt idx="12">
                  <c:v>-67.929999999999993</c:v>
                </c:pt>
                <c:pt idx="13">
                  <c:v>-69.38000000000001</c:v>
                </c:pt>
                <c:pt idx="14">
                  <c:v>-67.100000000000009</c:v>
                </c:pt>
                <c:pt idx="15">
                  <c:v>-66.47</c:v>
                </c:pt>
                <c:pt idx="16">
                  <c:v>-63.779999999999994</c:v>
                </c:pt>
                <c:pt idx="17">
                  <c:v>-61.4</c:v>
                </c:pt>
                <c:pt idx="18">
                  <c:v>-64.570000000000007</c:v>
                </c:pt>
                <c:pt idx="19">
                  <c:v>-64.359999999999985</c:v>
                </c:pt>
                <c:pt idx="20">
                  <c:v>-62.750000000000007</c:v>
                </c:pt>
                <c:pt idx="21">
                  <c:v>-61.22</c:v>
                </c:pt>
                <c:pt idx="22">
                  <c:v>-69.990000000000009</c:v>
                </c:pt>
                <c:pt idx="23">
                  <c:v>-82.36</c:v>
                </c:pt>
                <c:pt idx="24">
                  <c:v>-70.17</c:v>
                </c:pt>
                <c:pt idx="25">
                  <c:v>-2.5600000000000023</c:v>
                </c:pt>
              </c:numCache>
            </c:numRef>
          </c:val>
          <c:extLst>
            <c:ext xmlns:c16="http://schemas.microsoft.com/office/drawing/2014/chart" uri="{C3380CC4-5D6E-409C-BE32-E72D297353CC}">
              <c16:uniqueId val="{00000000-7EF2-49BE-8630-AB1405153728}"/>
            </c:ext>
          </c:extLst>
        </c:ser>
        <c:dLbls>
          <c:showLegendKey val="0"/>
          <c:showVal val="0"/>
          <c:showCatName val="0"/>
          <c:showSerName val="0"/>
          <c:showPercent val="0"/>
          <c:showBubbleSize val="0"/>
        </c:dLbls>
        <c:gapWidth val="219"/>
        <c:overlap val="-27"/>
        <c:axId val="512852864"/>
        <c:axId val="512846624"/>
      </c:barChart>
      <c:catAx>
        <c:axId val="512852864"/>
        <c:scaling>
          <c:orientation val="minMax"/>
        </c:scaling>
        <c:delete val="0"/>
        <c:axPos val="b"/>
        <c:numFmt formatCode="0" sourceLinked="1"/>
        <c:majorTickMark val="out"/>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accent4">
                    <a:lumMod val="60000"/>
                    <a:lumOff val="40000"/>
                  </a:schemeClr>
                </a:solidFill>
                <a:latin typeface="+mn-lt"/>
                <a:ea typeface="+mn-ea"/>
                <a:cs typeface="+mn-cs"/>
              </a:defRPr>
            </a:pPr>
            <a:endParaRPr lang="en-US"/>
          </a:p>
        </c:txPr>
        <c:crossAx val="512846624"/>
        <c:crosses val="autoZero"/>
        <c:auto val="1"/>
        <c:lblAlgn val="ctr"/>
        <c:lblOffset val="100"/>
        <c:noMultiLvlLbl val="0"/>
      </c:catAx>
      <c:valAx>
        <c:axId val="512846624"/>
        <c:scaling>
          <c:orientation val="minMax"/>
        </c:scaling>
        <c:delete val="0"/>
        <c:axPos val="l"/>
        <c:majorGridlines>
          <c:spPr>
            <a:ln w="9525" cap="flat" cmpd="sng" algn="ctr">
              <a:solidFill>
                <a:schemeClr val="bg2">
                  <a:lumMod val="50000"/>
                  <a:alpha val="6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accent4">
                    <a:lumMod val="60000"/>
                    <a:lumOff val="40000"/>
                  </a:schemeClr>
                </a:solidFill>
                <a:latin typeface="+mn-lt"/>
                <a:ea typeface="+mn-ea"/>
                <a:cs typeface="+mn-cs"/>
              </a:defRPr>
            </a:pPr>
            <a:endParaRPr lang="en-US"/>
          </a:p>
        </c:txPr>
        <c:crossAx val="5128528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Exchange</a:t>
            </a:r>
            <a:r>
              <a:rPr lang="en-US" baseline="0">
                <a:solidFill>
                  <a:schemeClr val="bg1"/>
                </a:solidFill>
              </a:rPr>
              <a:t> </a:t>
            </a:r>
            <a:r>
              <a:rPr lang="en-US">
                <a:solidFill>
                  <a:schemeClr val="bg1"/>
                </a:solidFill>
              </a:rPr>
              <a:t>Rate</a:t>
            </a:r>
            <a:r>
              <a:rPr lang="en-US" baseline="0">
                <a:solidFill>
                  <a:schemeClr val="bg1"/>
                </a:solidFill>
              </a:rPr>
              <a:t> </a:t>
            </a:r>
            <a:r>
              <a:rPr lang="en-US">
                <a:solidFill>
                  <a:schemeClr val="bg1"/>
                </a:solidFill>
              </a:rPr>
              <a:t>Movement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lineChart>
        <c:grouping val="standard"/>
        <c:varyColors val="0"/>
        <c:ser>
          <c:idx val="0"/>
          <c:order val="0"/>
          <c:tx>
            <c:strRef>
              <c:f>Processing!$BM$1</c:f>
              <c:strCache>
                <c:ptCount val="1"/>
                <c:pt idx="0">
                  <c:v>Exchange_Rate_Movement</c:v>
                </c:pt>
              </c:strCache>
            </c:strRef>
          </c:tx>
          <c:spPr>
            <a:ln w="28575" cap="rnd">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none"/>
          </c:marker>
          <c:cat>
            <c:numRef>
              <c:f>Processing!$BJ$2:$BJ$27</c:f>
              <c:numCache>
                <c:formatCode>0</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Processing!$BM$2:$BM$27</c:f>
              <c:numCache>
                <c:formatCode>General</c:formatCode>
                <c:ptCount val="26"/>
                <c:pt idx="0">
                  <c:v>0.57999999999999996</c:v>
                </c:pt>
                <c:pt idx="1">
                  <c:v>0.61</c:v>
                </c:pt>
                <c:pt idx="2">
                  <c:v>0.62</c:v>
                </c:pt>
                <c:pt idx="3">
                  <c:v>0.61</c:v>
                </c:pt>
                <c:pt idx="4">
                  <c:v>0.56999999999999995</c:v>
                </c:pt>
                <c:pt idx="5">
                  <c:v>0.54</c:v>
                </c:pt>
                <c:pt idx="6">
                  <c:v>0.56000000000000005</c:v>
                </c:pt>
                <c:pt idx="7">
                  <c:v>0.56000000000000005</c:v>
                </c:pt>
                <c:pt idx="8">
                  <c:v>0.51</c:v>
                </c:pt>
                <c:pt idx="9">
                  <c:v>0.48</c:v>
                </c:pt>
                <c:pt idx="10">
                  <c:v>0.51</c:v>
                </c:pt>
                <c:pt idx="11">
                  <c:v>0.53</c:v>
                </c:pt>
                <c:pt idx="12">
                  <c:v>0.51</c:v>
                </c:pt>
                <c:pt idx="13">
                  <c:v>0.54</c:v>
                </c:pt>
                <c:pt idx="14">
                  <c:v>0.53</c:v>
                </c:pt>
                <c:pt idx="15">
                  <c:v>0.75</c:v>
                </c:pt>
                <c:pt idx="16">
                  <c:v>0.91</c:v>
                </c:pt>
                <c:pt idx="17">
                  <c:v>0.91</c:v>
                </c:pt>
                <c:pt idx="18">
                  <c:v>0.88</c:v>
                </c:pt>
                <c:pt idx="19">
                  <c:v>0.85</c:v>
                </c:pt>
                <c:pt idx="20">
                  <c:v>0.89</c:v>
                </c:pt>
                <c:pt idx="21">
                  <c:v>0.87</c:v>
                </c:pt>
                <c:pt idx="22">
                  <c:v>0.84</c:v>
                </c:pt>
                <c:pt idx="23">
                  <c:v>0.95</c:v>
                </c:pt>
                <c:pt idx="24">
                  <c:v>0.92</c:v>
                </c:pt>
                <c:pt idx="25">
                  <c:v>0.93</c:v>
                </c:pt>
              </c:numCache>
            </c:numRef>
          </c:val>
          <c:smooth val="0"/>
          <c:extLst>
            <c:ext xmlns:c16="http://schemas.microsoft.com/office/drawing/2014/chart" uri="{C3380CC4-5D6E-409C-BE32-E72D297353CC}">
              <c16:uniqueId val="{00000000-1CBE-4AE7-B660-3E6CFDFEC4C8}"/>
            </c:ext>
          </c:extLst>
        </c:ser>
        <c:dLbls>
          <c:showLegendKey val="0"/>
          <c:showVal val="0"/>
          <c:showCatName val="0"/>
          <c:showSerName val="0"/>
          <c:showPercent val="0"/>
          <c:showBubbleSize val="0"/>
        </c:dLbls>
        <c:smooth val="0"/>
        <c:axId val="2021786736"/>
        <c:axId val="2021785776"/>
      </c:lineChart>
      <c:catAx>
        <c:axId val="2021786736"/>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4">
                    <a:lumMod val="60000"/>
                    <a:lumOff val="40000"/>
                  </a:schemeClr>
                </a:solidFill>
                <a:latin typeface="+mn-lt"/>
                <a:ea typeface="+mn-ea"/>
                <a:cs typeface="+mn-cs"/>
              </a:defRPr>
            </a:pPr>
            <a:endParaRPr lang="en-US"/>
          </a:p>
        </c:txPr>
        <c:crossAx val="2021785776"/>
        <c:crosses val="autoZero"/>
        <c:auto val="1"/>
        <c:lblAlgn val="ctr"/>
        <c:lblOffset val="100"/>
        <c:noMultiLvlLbl val="0"/>
      </c:catAx>
      <c:valAx>
        <c:axId val="2021785776"/>
        <c:scaling>
          <c:orientation val="minMax"/>
        </c:scaling>
        <c:delete val="0"/>
        <c:axPos val="l"/>
        <c:majorGridlines>
          <c:spPr>
            <a:ln w="9525" cap="flat" cmpd="sng" algn="ctr">
              <a:solidFill>
                <a:schemeClr val="bg2">
                  <a:lumMod val="50000"/>
                  <a:alpha val="68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accent4">
                    <a:lumMod val="60000"/>
                    <a:lumOff val="40000"/>
                  </a:schemeClr>
                </a:solidFill>
                <a:latin typeface="+mn-lt"/>
                <a:ea typeface="+mn-ea"/>
                <a:cs typeface="+mn-cs"/>
              </a:defRPr>
            </a:pPr>
            <a:endParaRPr lang="en-US"/>
          </a:p>
        </c:txPr>
        <c:crossAx val="202178673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523882481565927"/>
          <c:y val="0.20490141690565486"/>
          <c:w val="0.44007792272372043"/>
          <c:h val="0.73346314977596971"/>
        </c:manualLayout>
      </c:layout>
      <c:doughnutChart>
        <c:varyColors val="1"/>
        <c:ser>
          <c:idx val="0"/>
          <c:order val="0"/>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EF6B-4930-9CC4-3E0DBA8005C6}"/>
            </c:ext>
          </c:extLst>
        </c:ser>
        <c:ser>
          <c:idx val="1"/>
          <c:order val="1"/>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EF6B-4930-9CC4-3E0DBA8005C6}"/>
            </c:ext>
          </c:extLst>
        </c:ser>
        <c:ser>
          <c:idx val="2"/>
          <c:order val="2"/>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2-EF6B-4930-9CC4-3E0DBA8005C6}"/>
            </c:ext>
          </c:extLst>
        </c:ser>
        <c:ser>
          <c:idx val="3"/>
          <c:order val="3"/>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3-EF6B-4930-9CC4-3E0DBA8005C6}"/>
            </c:ext>
          </c:extLst>
        </c:ser>
        <c:ser>
          <c:idx val="4"/>
          <c:order val="4"/>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4-EF6B-4930-9CC4-3E0DBA8005C6}"/>
            </c:ext>
          </c:extLst>
        </c:ser>
        <c:dLbls>
          <c:showLegendKey val="0"/>
          <c:showVal val="0"/>
          <c:showCatName val="0"/>
          <c:showSerName val="0"/>
          <c:showPercent val="0"/>
          <c:showBubbleSize val="0"/>
          <c:showLeaderLines val="1"/>
        </c:dLbls>
        <c:firstSliceAng val="270"/>
        <c:holeSize val="29"/>
      </c:doughnutChart>
    </c:plotArea>
    <c:legend>
      <c:legendPos val="b"/>
      <c:layout>
        <c:manualLayout>
          <c:xMode val="edge"/>
          <c:yMode val="edge"/>
          <c:x val="0.17197138434470516"/>
          <c:y val="0.58196497320513063"/>
          <c:w val="0.66815581289747472"/>
          <c:h val="8.0197188957031471E-2"/>
        </c:manualLayout>
      </c:layout>
      <c:overlay val="0"/>
      <c:txPr>
        <a:bodyPr/>
        <a:lstStyle/>
        <a:p>
          <a:pPr rtl="0">
            <a:defRPr sz="800">
              <a:solidFill>
                <a:schemeClr val="tx2">
                  <a:lumMod val="25000"/>
                  <a:lumOff val="75000"/>
                </a:schemeClr>
              </a:solidFill>
            </a:defRPr>
          </a:pPr>
          <a:endParaRPr lang="ru-RU"/>
        </a:p>
      </c:txPr>
    </c:legend>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Processing!$BT$1</c:f>
              <c:strCache>
                <c:ptCount val="1"/>
                <c:pt idx="0">
                  <c:v>Gov_Expenditure</c:v>
                </c:pt>
              </c:strCache>
            </c:strRef>
          </c:tx>
          <c:spPr>
            <a:gradFill>
              <a:gsLst>
                <a:gs pos="38000">
                  <a:srgbClr val="5D63D1"/>
                </a:gs>
                <a:gs pos="100000">
                  <a:srgbClr val="2E327A"/>
                </a:gs>
                <a:gs pos="0">
                  <a:schemeClr val="accent1">
                    <a:lumMod val="30000"/>
                    <a:lumOff val="70000"/>
                  </a:schemeClr>
                </a:gs>
              </a:gsLst>
              <a:lin ang="8100000" scaled="1"/>
            </a:gradFill>
            <a:ln>
              <a:noFill/>
            </a:ln>
            <a:effectLst/>
          </c:spPr>
          <c:invertIfNegative val="0"/>
          <c:cat>
            <c:numRef>
              <c:f>Processing!$BS$2:$BS$27</c:f>
              <c:numCache>
                <c:formatCode>0</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Processing!$BT$2:$BT$27</c:f>
              <c:numCache>
                <c:formatCode>General</c:formatCode>
                <c:ptCount val="26"/>
                <c:pt idx="0">
                  <c:v>40.4</c:v>
                </c:pt>
                <c:pt idx="1">
                  <c:v>37</c:v>
                </c:pt>
                <c:pt idx="2">
                  <c:v>35</c:v>
                </c:pt>
                <c:pt idx="3">
                  <c:v>35.4</c:v>
                </c:pt>
                <c:pt idx="4">
                  <c:v>34.4</c:v>
                </c:pt>
                <c:pt idx="5">
                  <c:v>34.799999999999997</c:v>
                </c:pt>
                <c:pt idx="6">
                  <c:v>35.799999999999997</c:v>
                </c:pt>
                <c:pt idx="7">
                  <c:v>35.5</c:v>
                </c:pt>
                <c:pt idx="8">
                  <c:v>34.799999999999997</c:v>
                </c:pt>
                <c:pt idx="9">
                  <c:v>38.200000000000003</c:v>
                </c:pt>
                <c:pt idx="10">
                  <c:v>43.6</c:v>
                </c:pt>
                <c:pt idx="11">
                  <c:v>43.6</c:v>
                </c:pt>
                <c:pt idx="12">
                  <c:v>41.2</c:v>
                </c:pt>
                <c:pt idx="13">
                  <c:v>38.6</c:v>
                </c:pt>
                <c:pt idx="14">
                  <c:v>38.700000000000003</c:v>
                </c:pt>
                <c:pt idx="15">
                  <c:v>39.200000000000003</c:v>
                </c:pt>
                <c:pt idx="16">
                  <c:v>38.700000000000003</c:v>
                </c:pt>
                <c:pt idx="17">
                  <c:v>37.4</c:v>
                </c:pt>
                <c:pt idx="18">
                  <c:v>37.799999999999997</c:v>
                </c:pt>
                <c:pt idx="19">
                  <c:v>39.4</c:v>
                </c:pt>
                <c:pt idx="20">
                  <c:v>39</c:v>
                </c:pt>
                <c:pt idx="21">
                  <c:v>42.6</c:v>
                </c:pt>
                <c:pt idx="22">
                  <c:v>44.6</c:v>
                </c:pt>
                <c:pt idx="23">
                  <c:v>43.5</c:v>
                </c:pt>
                <c:pt idx="24">
                  <c:v>43.1</c:v>
                </c:pt>
                <c:pt idx="25">
                  <c:v>44.5</c:v>
                </c:pt>
              </c:numCache>
            </c:numRef>
          </c:val>
          <c:extLst>
            <c:ext xmlns:c16="http://schemas.microsoft.com/office/drawing/2014/chart" uri="{C3380CC4-5D6E-409C-BE32-E72D297353CC}">
              <c16:uniqueId val="{00000000-F5B0-414B-AFCB-75F08719FA52}"/>
            </c:ext>
          </c:extLst>
        </c:ser>
        <c:ser>
          <c:idx val="1"/>
          <c:order val="1"/>
          <c:tx>
            <c:strRef>
              <c:f>Processing!$BV$1</c:f>
              <c:strCache>
                <c:ptCount val="1"/>
                <c:pt idx="0">
                  <c:v>Public_Debt</c:v>
                </c:pt>
              </c:strCache>
            </c:strRef>
          </c:tx>
          <c:spPr>
            <a:gradFill>
              <a:gsLst>
                <a:gs pos="38000">
                  <a:schemeClr val="accent6">
                    <a:lumMod val="75000"/>
                  </a:schemeClr>
                </a:gs>
                <a:gs pos="100000">
                  <a:schemeClr val="accent6">
                    <a:lumMod val="50000"/>
                  </a:schemeClr>
                </a:gs>
                <a:gs pos="0">
                  <a:schemeClr val="accent6">
                    <a:lumMod val="40000"/>
                    <a:lumOff val="60000"/>
                  </a:schemeClr>
                </a:gs>
              </a:gsLst>
              <a:lin ang="8100000" scaled="1"/>
            </a:gradFill>
            <a:ln>
              <a:noFill/>
            </a:ln>
            <a:effectLst/>
          </c:spPr>
          <c:invertIfNegative val="0"/>
          <c:cat>
            <c:numRef>
              <c:f>Processing!$BS$2:$BS$27</c:f>
              <c:numCache>
                <c:formatCode>0</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cat>
          <c:val>
            <c:numRef>
              <c:f>Processing!$BV$2:$BV$27</c:f>
              <c:numCache>
                <c:formatCode>General</c:formatCode>
                <c:ptCount val="26"/>
                <c:pt idx="0">
                  <c:v>14.8</c:v>
                </c:pt>
                <c:pt idx="1">
                  <c:v>15.1</c:v>
                </c:pt>
                <c:pt idx="2">
                  <c:v>17.8</c:v>
                </c:pt>
                <c:pt idx="3">
                  <c:v>15.4</c:v>
                </c:pt>
                <c:pt idx="4">
                  <c:v>15.4</c:v>
                </c:pt>
                <c:pt idx="5">
                  <c:v>15.3</c:v>
                </c:pt>
                <c:pt idx="6">
                  <c:v>12.5</c:v>
                </c:pt>
                <c:pt idx="7">
                  <c:v>10.7</c:v>
                </c:pt>
                <c:pt idx="8">
                  <c:v>9</c:v>
                </c:pt>
                <c:pt idx="9">
                  <c:v>19.3</c:v>
                </c:pt>
                <c:pt idx="10">
                  <c:v>37.6</c:v>
                </c:pt>
                <c:pt idx="11">
                  <c:v>48.2</c:v>
                </c:pt>
                <c:pt idx="12">
                  <c:v>46.8</c:v>
                </c:pt>
                <c:pt idx="13">
                  <c:v>44.4</c:v>
                </c:pt>
                <c:pt idx="14">
                  <c:v>41.8</c:v>
                </c:pt>
                <c:pt idx="15">
                  <c:v>43.1</c:v>
                </c:pt>
                <c:pt idx="16">
                  <c:v>38.299999999999997</c:v>
                </c:pt>
                <c:pt idx="17">
                  <c:v>41.7</c:v>
                </c:pt>
                <c:pt idx="18">
                  <c:v>40.299999999999997</c:v>
                </c:pt>
                <c:pt idx="19">
                  <c:v>38.299999999999997</c:v>
                </c:pt>
                <c:pt idx="20">
                  <c:v>37.9</c:v>
                </c:pt>
                <c:pt idx="21">
                  <c:v>44</c:v>
                </c:pt>
                <c:pt idx="22">
                  <c:v>45.9</c:v>
                </c:pt>
                <c:pt idx="23">
                  <c:v>44.4</c:v>
                </c:pt>
                <c:pt idx="24">
                  <c:v>44.6</c:v>
                </c:pt>
                <c:pt idx="25">
                  <c:v>46.6</c:v>
                </c:pt>
              </c:numCache>
            </c:numRef>
          </c:val>
          <c:extLst>
            <c:ext xmlns:c16="http://schemas.microsoft.com/office/drawing/2014/chart" uri="{C3380CC4-5D6E-409C-BE32-E72D297353CC}">
              <c16:uniqueId val="{00000001-F5B0-414B-AFCB-75F08719FA52}"/>
            </c:ext>
          </c:extLst>
        </c:ser>
        <c:dLbls>
          <c:showLegendKey val="0"/>
          <c:showVal val="0"/>
          <c:showCatName val="0"/>
          <c:showSerName val="0"/>
          <c:showPercent val="0"/>
          <c:showBubbleSize val="0"/>
        </c:dLbls>
        <c:gapWidth val="219"/>
        <c:overlap val="-27"/>
        <c:axId val="2081533184"/>
        <c:axId val="2081532704"/>
      </c:barChart>
      <c:catAx>
        <c:axId val="2081533184"/>
        <c:scaling>
          <c:orientation val="minMax"/>
        </c:scaling>
        <c:delete val="0"/>
        <c:axPos val="b"/>
        <c:numFmt formatCode="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accent4">
                    <a:lumMod val="60000"/>
                    <a:lumOff val="40000"/>
                  </a:schemeClr>
                </a:solidFill>
                <a:latin typeface="+mn-lt"/>
                <a:ea typeface="+mn-ea"/>
                <a:cs typeface="+mn-cs"/>
              </a:defRPr>
            </a:pPr>
            <a:endParaRPr lang="en-US"/>
          </a:p>
        </c:txPr>
        <c:crossAx val="2081532704"/>
        <c:crosses val="autoZero"/>
        <c:auto val="1"/>
        <c:lblAlgn val="ctr"/>
        <c:lblOffset val="100"/>
        <c:noMultiLvlLbl val="0"/>
      </c:catAx>
      <c:valAx>
        <c:axId val="2081532704"/>
        <c:scaling>
          <c:orientation val="minMax"/>
        </c:scaling>
        <c:delete val="0"/>
        <c:axPos val="l"/>
        <c:majorGridlines>
          <c:spPr>
            <a:ln w="9525" cap="flat" cmpd="sng" algn="ctr">
              <a:solidFill>
                <a:schemeClr val="bg2">
                  <a:lumMod val="50000"/>
                  <a:alpha val="66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accent4">
                    <a:lumMod val="60000"/>
                    <a:lumOff val="40000"/>
                  </a:schemeClr>
                </a:solidFill>
                <a:latin typeface="+mn-lt"/>
                <a:ea typeface="+mn-ea"/>
                <a:cs typeface="+mn-cs"/>
              </a:defRPr>
            </a:pPr>
            <a:endParaRPr lang="en-US"/>
          </a:p>
        </c:txPr>
        <c:crossAx val="2081533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scatterChart>
        <c:scatterStyle val="lineMarker"/>
        <c:varyColors val="0"/>
        <c:ser>
          <c:idx val="0"/>
          <c:order val="0"/>
          <c:tx>
            <c:strRef>
              <c:f>Processing!$BU$1</c:f>
              <c:strCache>
                <c:ptCount val="1"/>
                <c:pt idx="0">
                  <c:v>Budget_Deficit</c:v>
                </c:pt>
              </c:strCache>
            </c:strRef>
          </c:tx>
          <c:spPr>
            <a:ln w="19050" cap="rnd">
              <a:solidFill>
                <a:srgbClr val="FF00FF"/>
              </a:solidFill>
              <a:round/>
            </a:ln>
            <a:effectLst/>
          </c:spPr>
          <c:marker>
            <c:symbol val="circle"/>
            <c:size val="7"/>
            <c:spPr>
              <a:solidFill>
                <a:srgbClr val="00B050"/>
              </a:solidFill>
              <a:ln w="9525">
                <a:solidFill>
                  <a:srgbClr val="FF00FF"/>
                </a:solidFill>
              </a:ln>
              <a:effectLst/>
            </c:spPr>
          </c:marker>
          <c:xVal>
            <c:numRef>
              <c:f>Processing!$BS$2:$BS$27</c:f>
              <c:numCache>
                <c:formatCode>0</c:formatCode>
                <c:ptCount val="26"/>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numCache>
            </c:numRef>
          </c:xVal>
          <c:yVal>
            <c:numRef>
              <c:f>Processing!$BU$2:$BU$27</c:f>
              <c:numCache>
                <c:formatCode>General</c:formatCode>
                <c:ptCount val="26"/>
                <c:pt idx="0">
                  <c:v>-3.5</c:v>
                </c:pt>
                <c:pt idx="1">
                  <c:v>-2.6</c:v>
                </c:pt>
                <c:pt idx="2">
                  <c:v>-2</c:v>
                </c:pt>
                <c:pt idx="3">
                  <c:v>-2.6</c:v>
                </c:pt>
                <c:pt idx="4">
                  <c:v>-1.7</c:v>
                </c:pt>
                <c:pt idx="5">
                  <c:v>-1</c:v>
                </c:pt>
                <c:pt idx="6">
                  <c:v>-1.1000000000000001</c:v>
                </c:pt>
                <c:pt idx="7">
                  <c:v>-0.5</c:v>
                </c:pt>
                <c:pt idx="8">
                  <c:v>0.6</c:v>
                </c:pt>
                <c:pt idx="9">
                  <c:v>-3.3</c:v>
                </c:pt>
                <c:pt idx="10">
                  <c:v>-7.1</c:v>
                </c:pt>
                <c:pt idx="11">
                  <c:v>-6.6</c:v>
                </c:pt>
                <c:pt idx="12">
                  <c:v>-3.4</c:v>
                </c:pt>
                <c:pt idx="13">
                  <c:v>0.2</c:v>
                </c:pt>
                <c:pt idx="14">
                  <c:v>-0.6</c:v>
                </c:pt>
                <c:pt idx="15">
                  <c:v>-1.7</c:v>
                </c:pt>
                <c:pt idx="16">
                  <c:v>-1.6</c:v>
                </c:pt>
                <c:pt idx="17">
                  <c:v>-0.5</c:v>
                </c:pt>
                <c:pt idx="18">
                  <c:v>-0.9</c:v>
                </c:pt>
                <c:pt idx="19">
                  <c:v>-0.8</c:v>
                </c:pt>
                <c:pt idx="20">
                  <c:v>-0.4</c:v>
                </c:pt>
                <c:pt idx="21">
                  <c:v>-3.9</c:v>
                </c:pt>
                <c:pt idx="22">
                  <c:v>-5.7</c:v>
                </c:pt>
                <c:pt idx="23">
                  <c:v>-3.9</c:v>
                </c:pt>
                <c:pt idx="24">
                  <c:v>-3.4</c:v>
                </c:pt>
                <c:pt idx="25">
                  <c:v>-1.8</c:v>
                </c:pt>
              </c:numCache>
            </c:numRef>
          </c:yVal>
          <c:smooth val="0"/>
          <c:extLst>
            <c:ext xmlns:c16="http://schemas.microsoft.com/office/drawing/2014/chart" uri="{C3380CC4-5D6E-409C-BE32-E72D297353CC}">
              <c16:uniqueId val="{00000000-DAF9-4631-83EF-D0BD2EB5A279}"/>
            </c:ext>
          </c:extLst>
        </c:ser>
        <c:dLbls>
          <c:showLegendKey val="0"/>
          <c:showVal val="0"/>
          <c:showCatName val="0"/>
          <c:showSerName val="0"/>
          <c:showPercent val="0"/>
          <c:showBubbleSize val="0"/>
        </c:dLbls>
        <c:axId val="512843264"/>
        <c:axId val="512843744"/>
      </c:scatterChart>
      <c:valAx>
        <c:axId val="512843264"/>
        <c:scaling>
          <c:orientation val="minMax"/>
        </c:scaling>
        <c:delete val="0"/>
        <c:axPos val="b"/>
        <c:majorGridlines>
          <c:spPr>
            <a:ln w="9525" cap="flat" cmpd="sng" algn="ctr">
              <a:solidFill>
                <a:schemeClr val="bg2">
                  <a:lumMod val="50000"/>
                  <a:alpha val="66000"/>
                </a:schemeClr>
              </a:solidFill>
              <a:round/>
            </a:ln>
            <a:effectLst/>
          </c:spPr>
        </c:majorGridlines>
        <c:numFmt formatCode="0" sourceLinked="1"/>
        <c:majorTickMark val="none"/>
        <c:minorTickMark val="none"/>
        <c:tickLblPos val="high"/>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baseline="0">
                <a:solidFill>
                  <a:schemeClr val="accent4">
                    <a:lumMod val="60000"/>
                    <a:lumOff val="40000"/>
                  </a:schemeClr>
                </a:solidFill>
                <a:latin typeface="+mn-lt"/>
                <a:ea typeface="+mn-ea"/>
                <a:cs typeface="+mn-cs"/>
              </a:defRPr>
            </a:pPr>
            <a:endParaRPr lang="en-US"/>
          </a:p>
        </c:txPr>
        <c:crossAx val="512843744"/>
        <c:crosses val="autoZero"/>
        <c:crossBetween val="midCat"/>
      </c:valAx>
      <c:valAx>
        <c:axId val="512843744"/>
        <c:scaling>
          <c:orientation val="minMax"/>
        </c:scaling>
        <c:delete val="0"/>
        <c:axPos val="l"/>
        <c:majorGridlines>
          <c:spPr>
            <a:ln w="9525" cap="flat" cmpd="sng" algn="ctr">
              <a:solidFill>
                <a:schemeClr val="bg2">
                  <a:lumMod val="50000"/>
                  <a:alpha val="60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accent4">
                    <a:lumMod val="60000"/>
                    <a:lumOff val="40000"/>
                  </a:schemeClr>
                </a:solidFill>
                <a:latin typeface="+mn-lt"/>
                <a:ea typeface="+mn-ea"/>
                <a:cs typeface="+mn-cs"/>
              </a:defRPr>
            </a:pPr>
            <a:endParaRPr lang="en-US"/>
          </a:p>
        </c:txPr>
        <c:crossAx val="512843264"/>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523882481565927"/>
          <c:y val="0.20490141690565486"/>
          <c:w val="0.44007792272372043"/>
          <c:h val="0.73346314977596971"/>
        </c:manualLayout>
      </c:layout>
      <c:doughnutChart>
        <c:varyColors val="1"/>
        <c:ser>
          <c:idx val="0"/>
          <c:order val="0"/>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20CE-4839-ACAB-CBDBDD567DCC}"/>
            </c:ext>
          </c:extLst>
        </c:ser>
        <c:ser>
          <c:idx val="1"/>
          <c:order val="1"/>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20CE-4839-ACAB-CBDBDD567DCC}"/>
            </c:ext>
          </c:extLst>
        </c:ser>
        <c:ser>
          <c:idx val="2"/>
          <c:order val="2"/>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2-20CE-4839-ACAB-CBDBDD567DCC}"/>
            </c:ext>
          </c:extLst>
        </c:ser>
        <c:ser>
          <c:idx val="3"/>
          <c:order val="3"/>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3-20CE-4839-ACAB-CBDBDD567DCC}"/>
            </c:ext>
          </c:extLst>
        </c:ser>
        <c:ser>
          <c:idx val="4"/>
          <c:order val="4"/>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4-20CE-4839-ACAB-CBDBDD567DCC}"/>
            </c:ext>
          </c:extLst>
        </c:ser>
        <c:dLbls>
          <c:showLegendKey val="0"/>
          <c:showVal val="0"/>
          <c:showCatName val="0"/>
          <c:showSerName val="0"/>
          <c:showPercent val="0"/>
          <c:showBubbleSize val="0"/>
          <c:showLeaderLines val="1"/>
        </c:dLbls>
        <c:firstSliceAng val="270"/>
        <c:holeSize val="29"/>
      </c:doughnutChart>
    </c:plotArea>
    <c:legend>
      <c:legendPos val="b"/>
      <c:layout>
        <c:manualLayout>
          <c:xMode val="edge"/>
          <c:yMode val="edge"/>
          <c:x val="0.17197138434470516"/>
          <c:y val="0.58196497320513063"/>
          <c:w val="0.66815581289747472"/>
          <c:h val="8.0197188957031471E-2"/>
        </c:manualLayout>
      </c:layout>
      <c:overlay val="0"/>
      <c:txPr>
        <a:bodyPr/>
        <a:lstStyle/>
        <a:p>
          <a:pPr rtl="0">
            <a:defRPr sz="800">
              <a:solidFill>
                <a:schemeClr val="tx2">
                  <a:lumMod val="25000"/>
                  <a:lumOff val="75000"/>
                </a:schemeClr>
              </a:solidFill>
            </a:defRPr>
          </a:pPr>
          <a:endParaRPr lang="ru-RU"/>
        </a:p>
      </c:txPr>
    </c:legend>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image" Target="../media/image8.png"/><Relationship Id="rId18" Type="http://schemas.openxmlformats.org/officeDocument/2006/relationships/hyperlink" Target="#External!A1"/><Relationship Id="rId26" Type="http://schemas.openxmlformats.org/officeDocument/2006/relationships/image" Target="../media/image17.svg"/><Relationship Id="rId3" Type="http://schemas.openxmlformats.org/officeDocument/2006/relationships/image" Target="../media/image2.svg"/><Relationship Id="rId21" Type="http://schemas.openxmlformats.org/officeDocument/2006/relationships/hyperlink" Target="#Fiscal!A1"/><Relationship Id="rId34" Type="http://schemas.microsoft.com/office/2007/relationships/hdphoto" Target="../media/hdphoto2.wdp"/><Relationship Id="rId7" Type="http://schemas.openxmlformats.org/officeDocument/2006/relationships/image" Target="../media/image4.png"/><Relationship Id="rId12" Type="http://schemas.openxmlformats.org/officeDocument/2006/relationships/hyperlink" Target="#Inflation!A1"/><Relationship Id="rId17" Type="http://schemas.openxmlformats.org/officeDocument/2006/relationships/image" Target="../media/image11.svg"/><Relationship Id="rId25" Type="http://schemas.openxmlformats.org/officeDocument/2006/relationships/image" Target="../media/image16.png"/><Relationship Id="rId33" Type="http://schemas.openxmlformats.org/officeDocument/2006/relationships/image" Target="../media/image19.png"/><Relationship Id="rId2" Type="http://schemas.openxmlformats.org/officeDocument/2006/relationships/image" Target="../media/image1.png"/><Relationship Id="rId16" Type="http://schemas.openxmlformats.org/officeDocument/2006/relationships/image" Target="../media/image10.png"/><Relationship Id="rId20" Type="http://schemas.openxmlformats.org/officeDocument/2006/relationships/image" Target="../media/image13.svg"/><Relationship Id="rId29" Type="http://schemas.openxmlformats.org/officeDocument/2006/relationships/chart" Target="../charts/chart4.xml"/><Relationship Id="rId1" Type="http://schemas.openxmlformats.org/officeDocument/2006/relationships/hyperlink" Target="#DASHBOARD!A1"/><Relationship Id="rId6" Type="http://schemas.openxmlformats.org/officeDocument/2006/relationships/hyperlink" Target="#'Real Sector'!A1"/><Relationship Id="rId11" Type="http://schemas.openxmlformats.org/officeDocument/2006/relationships/image" Target="../media/image7.svg"/><Relationship Id="rId24" Type="http://schemas.openxmlformats.org/officeDocument/2006/relationships/hyperlink" Target="#Summary!A1"/><Relationship Id="rId32" Type="http://schemas.openxmlformats.org/officeDocument/2006/relationships/hyperlink" Target="http://www.public-domain-image.com/free-images/flags-of-the-world/flag-of-latvia" TargetMode="External"/><Relationship Id="rId5" Type="http://schemas.openxmlformats.org/officeDocument/2006/relationships/image" Target="../media/image3.png"/><Relationship Id="rId15" Type="http://schemas.openxmlformats.org/officeDocument/2006/relationships/hyperlink" Target="#Labour!A1"/><Relationship Id="rId23" Type="http://schemas.openxmlformats.org/officeDocument/2006/relationships/image" Target="../media/image15.svg"/><Relationship Id="rId28" Type="http://schemas.openxmlformats.org/officeDocument/2006/relationships/chart" Target="../charts/chart3.xml"/><Relationship Id="rId10" Type="http://schemas.openxmlformats.org/officeDocument/2006/relationships/image" Target="../media/image6.png"/><Relationship Id="rId19" Type="http://schemas.openxmlformats.org/officeDocument/2006/relationships/image" Target="../media/image12.png"/><Relationship Id="rId31" Type="http://schemas.microsoft.com/office/2007/relationships/hdphoto" Target="../media/hdphoto1.wdp"/><Relationship Id="rId4" Type="http://schemas.openxmlformats.org/officeDocument/2006/relationships/chart" Target="../charts/chart1.xml"/><Relationship Id="rId9" Type="http://schemas.openxmlformats.org/officeDocument/2006/relationships/hyperlink" Target="#Monetary!A1"/><Relationship Id="rId14" Type="http://schemas.openxmlformats.org/officeDocument/2006/relationships/image" Target="../media/image9.svg"/><Relationship Id="rId22" Type="http://schemas.openxmlformats.org/officeDocument/2006/relationships/image" Target="../media/image14.png"/><Relationship Id="rId27" Type="http://schemas.openxmlformats.org/officeDocument/2006/relationships/chart" Target="../charts/chart2.xml"/><Relationship Id="rId30" Type="http://schemas.openxmlformats.org/officeDocument/2006/relationships/image" Target="../media/image18.png"/><Relationship Id="rId8" Type="http://schemas.openxmlformats.org/officeDocument/2006/relationships/image" Target="../media/image5.svg"/></Relationships>
</file>

<file path=xl/drawings/_rels/drawing4.xml.rels><?xml version="1.0" encoding="UTF-8" standalone="yes"?>
<Relationships xmlns="http://schemas.openxmlformats.org/package/2006/relationships"><Relationship Id="rId8" Type="http://schemas.openxmlformats.org/officeDocument/2006/relationships/image" Target="../media/image23.svg"/><Relationship Id="rId13" Type="http://schemas.openxmlformats.org/officeDocument/2006/relationships/image" Target="../media/image8.png"/><Relationship Id="rId18" Type="http://schemas.openxmlformats.org/officeDocument/2006/relationships/hyperlink" Target="#External!A1"/><Relationship Id="rId26" Type="http://schemas.openxmlformats.org/officeDocument/2006/relationships/image" Target="../media/image17.svg"/><Relationship Id="rId3" Type="http://schemas.openxmlformats.org/officeDocument/2006/relationships/image" Target="../media/image21.svg"/><Relationship Id="rId21" Type="http://schemas.openxmlformats.org/officeDocument/2006/relationships/hyperlink" Target="#Fiscal!A1"/><Relationship Id="rId7" Type="http://schemas.openxmlformats.org/officeDocument/2006/relationships/image" Target="../media/image22.png"/><Relationship Id="rId12" Type="http://schemas.openxmlformats.org/officeDocument/2006/relationships/hyperlink" Target="#Inflation!A1"/><Relationship Id="rId17" Type="http://schemas.openxmlformats.org/officeDocument/2006/relationships/image" Target="../media/image11.svg"/><Relationship Id="rId25" Type="http://schemas.openxmlformats.org/officeDocument/2006/relationships/image" Target="../media/image16.png"/><Relationship Id="rId2" Type="http://schemas.openxmlformats.org/officeDocument/2006/relationships/image" Target="../media/image20.png"/><Relationship Id="rId16" Type="http://schemas.openxmlformats.org/officeDocument/2006/relationships/image" Target="../media/image10.png"/><Relationship Id="rId20" Type="http://schemas.openxmlformats.org/officeDocument/2006/relationships/image" Target="../media/image13.svg"/><Relationship Id="rId29" Type="http://schemas.openxmlformats.org/officeDocument/2006/relationships/chart" Target="../charts/chart8.xml"/><Relationship Id="rId1" Type="http://schemas.openxmlformats.org/officeDocument/2006/relationships/hyperlink" Target="#DASHBOARD!A1"/><Relationship Id="rId6" Type="http://schemas.openxmlformats.org/officeDocument/2006/relationships/hyperlink" Target="#'Real Sector'!A1"/><Relationship Id="rId11" Type="http://schemas.openxmlformats.org/officeDocument/2006/relationships/image" Target="../media/image7.svg"/><Relationship Id="rId24" Type="http://schemas.openxmlformats.org/officeDocument/2006/relationships/hyperlink" Target="#Summary!A1"/><Relationship Id="rId5" Type="http://schemas.openxmlformats.org/officeDocument/2006/relationships/image" Target="../media/image3.png"/><Relationship Id="rId15" Type="http://schemas.openxmlformats.org/officeDocument/2006/relationships/hyperlink" Target="#Labour!A1"/><Relationship Id="rId23" Type="http://schemas.openxmlformats.org/officeDocument/2006/relationships/image" Target="../media/image15.svg"/><Relationship Id="rId28" Type="http://schemas.openxmlformats.org/officeDocument/2006/relationships/chart" Target="../charts/chart7.xml"/><Relationship Id="rId10" Type="http://schemas.openxmlformats.org/officeDocument/2006/relationships/image" Target="../media/image6.png"/><Relationship Id="rId19" Type="http://schemas.openxmlformats.org/officeDocument/2006/relationships/image" Target="../media/image12.png"/><Relationship Id="rId4" Type="http://schemas.openxmlformats.org/officeDocument/2006/relationships/chart" Target="../charts/chart5.xml"/><Relationship Id="rId9" Type="http://schemas.openxmlformats.org/officeDocument/2006/relationships/hyperlink" Target="#Monetary!A1"/><Relationship Id="rId14" Type="http://schemas.openxmlformats.org/officeDocument/2006/relationships/image" Target="../media/image9.svg"/><Relationship Id="rId22" Type="http://schemas.openxmlformats.org/officeDocument/2006/relationships/image" Target="../media/image14.png"/><Relationship Id="rId27" Type="http://schemas.openxmlformats.org/officeDocument/2006/relationships/chart" Target="../charts/chart6.xml"/><Relationship Id="rId30" Type="http://schemas.openxmlformats.org/officeDocument/2006/relationships/chart" Target="../charts/chart9.xml"/></Relationships>
</file>

<file path=xl/drawings/_rels/drawing5.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8.png"/><Relationship Id="rId18" Type="http://schemas.openxmlformats.org/officeDocument/2006/relationships/hyperlink" Target="#External!A1"/><Relationship Id="rId26" Type="http://schemas.openxmlformats.org/officeDocument/2006/relationships/image" Target="../media/image17.svg"/><Relationship Id="rId3" Type="http://schemas.openxmlformats.org/officeDocument/2006/relationships/image" Target="../media/image21.svg"/><Relationship Id="rId21" Type="http://schemas.openxmlformats.org/officeDocument/2006/relationships/hyperlink" Target="#Fiscal!A1"/><Relationship Id="rId7" Type="http://schemas.openxmlformats.org/officeDocument/2006/relationships/image" Target="../media/image4.png"/><Relationship Id="rId12" Type="http://schemas.openxmlformats.org/officeDocument/2006/relationships/hyperlink" Target="#Inflation!A1"/><Relationship Id="rId17" Type="http://schemas.openxmlformats.org/officeDocument/2006/relationships/image" Target="../media/image11.svg"/><Relationship Id="rId25" Type="http://schemas.openxmlformats.org/officeDocument/2006/relationships/image" Target="../media/image16.png"/><Relationship Id="rId2" Type="http://schemas.openxmlformats.org/officeDocument/2006/relationships/image" Target="../media/image20.png"/><Relationship Id="rId16" Type="http://schemas.openxmlformats.org/officeDocument/2006/relationships/image" Target="../media/image10.png"/><Relationship Id="rId20" Type="http://schemas.openxmlformats.org/officeDocument/2006/relationships/image" Target="../media/image13.svg"/><Relationship Id="rId29" Type="http://schemas.openxmlformats.org/officeDocument/2006/relationships/chart" Target="../charts/chart13.xml"/><Relationship Id="rId1" Type="http://schemas.openxmlformats.org/officeDocument/2006/relationships/hyperlink" Target="#DASHBOARD!A1"/><Relationship Id="rId6" Type="http://schemas.openxmlformats.org/officeDocument/2006/relationships/hyperlink" Target="#'Real Sector'!A1"/><Relationship Id="rId11" Type="http://schemas.openxmlformats.org/officeDocument/2006/relationships/image" Target="../media/image25.svg"/><Relationship Id="rId24" Type="http://schemas.openxmlformats.org/officeDocument/2006/relationships/hyperlink" Target="#Summary!A1"/><Relationship Id="rId5" Type="http://schemas.openxmlformats.org/officeDocument/2006/relationships/image" Target="../media/image3.png"/><Relationship Id="rId15" Type="http://schemas.openxmlformats.org/officeDocument/2006/relationships/hyperlink" Target="#Labour!A1"/><Relationship Id="rId23" Type="http://schemas.openxmlformats.org/officeDocument/2006/relationships/image" Target="../media/image15.svg"/><Relationship Id="rId28" Type="http://schemas.openxmlformats.org/officeDocument/2006/relationships/chart" Target="../charts/chart12.xml"/><Relationship Id="rId10" Type="http://schemas.openxmlformats.org/officeDocument/2006/relationships/image" Target="../media/image24.png"/><Relationship Id="rId19" Type="http://schemas.openxmlformats.org/officeDocument/2006/relationships/image" Target="../media/image12.png"/><Relationship Id="rId4" Type="http://schemas.openxmlformats.org/officeDocument/2006/relationships/chart" Target="../charts/chart10.xml"/><Relationship Id="rId9" Type="http://schemas.openxmlformats.org/officeDocument/2006/relationships/hyperlink" Target="#Monetary!A1"/><Relationship Id="rId14" Type="http://schemas.openxmlformats.org/officeDocument/2006/relationships/image" Target="../media/image9.svg"/><Relationship Id="rId22" Type="http://schemas.openxmlformats.org/officeDocument/2006/relationships/image" Target="../media/image14.png"/><Relationship Id="rId27"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26.png"/><Relationship Id="rId18" Type="http://schemas.openxmlformats.org/officeDocument/2006/relationships/hyperlink" Target="#External!A1"/><Relationship Id="rId26" Type="http://schemas.openxmlformats.org/officeDocument/2006/relationships/image" Target="../media/image17.svg"/><Relationship Id="rId3" Type="http://schemas.openxmlformats.org/officeDocument/2006/relationships/image" Target="../media/image21.svg"/><Relationship Id="rId21" Type="http://schemas.openxmlformats.org/officeDocument/2006/relationships/hyperlink" Target="#Fiscal!A1"/><Relationship Id="rId7" Type="http://schemas.openxmlformats.org/officeDocument/2006/relationships/image" Target="../media/image4.png"/><Relationship Id="rId12" Type="http://schemas.openxmlformats.org/officeDocument/2006/relationships/hyperlink" Target="#Inflation!A1"/><Relationship Id="rId17" Type="http://schemas.openxmlformats.org/officeDocument/2006/relationships/image" Target="../media/image11.svg"/><Relationship Id="rId25" Type="http://schemas.openxmlformats.org/officeDocument/2006/relationships/image" Target="../media/image16.png"/><Relationship Id="rId2" Type="http://schemas.openxmlformats.org/officeDocument/2006/relationships/image" Target="../media/image20.png"/><Relationship Id="rId16" Type="http://schemas.openxmlformats.org/officeDocument/2006/relationships/image" Target="../media/image10.png"/><Relationship Id="rId20" Type="http://schemas.openxmlformats.org/officeDocument/2006/relationships/image" Target="../media/image13.svg"/><Relationship Id="rId29" Type="http://schemas.openxmlformats.org/officeDocument/2006/relationships/chart" Target="../charts/chart17.xml"/><Relationship Id="rId1" Type="http://schemas.openxmlformats.org/officeDocument/2006/relationships/hyperlink" Target="#DASHBOARD!A1"/><Relationship Id="rId6" Type="http://schemas.openxmlformats.org/officeDocument/2006/relationships/hyperlink" Target="#'Real Sector'!A1"/><Relationship Id="rId11" Type="http://schemas.openxmlformats.org/officeDocument/2006/relationships/image" Target="../media/image7.svg"/><Relationship Id="rId24" Type="http://schemas.openxmlformats.org/officeDocument/2006/relationships/hyperlink" Target="#Summary!A1"/><Relationship Id="rId5" Type="http://schemas.openxmlformats.org/officeDocument/2006/relationships/image" Target="../media/image3.png"/><Relationship Id="rId15" Type="http://schemas.openxmlformats.org/officeDocument/2006/relationships/hyperlink" Target="#Labour!A1"/><Relationship Id="rId23" Type="http://schemas.openxmlformats.org/officeDocument/2006/relationships/image" Target="../media/image15.svg"/><Relationship Id="rId28" Type="http://schemas.openxmlformats.org/officeDocument/2006/relationships/chart" Target="../charts/chart16.xml"/><Relationship Id="rId10" Type="http://schemas.openxmlformats.org/officeDocument/2006/relationships/image" Target="../media/image6.png"/><Relationship Id="rId19" Type="http://schemas.openxmlformats.org/officeDocument/2006/relationships/image" Target="../media/image12.png"/><Relationship Id="rId4" Type="http://schemas.openxmlformats.org/officeDocument/2006/relationships/chart" Target="../charts/chart14.xml"/><Relationship Id="rId9" Type="http://schemas.openxmlformats.org/officeDocument/2006/relationships/hyperlink" Target="#Monetary!A1"/><Relationship Id="rId14" Type="http://schemas.openxmlformats.org/officeDocument/2006/relationships/image" Target="../media/image27.svg"/><Relationship Id="rId22" Type="http://schemas.openxmlformats.org/officeDocument/2006/relationships/image" Target="../media/image14.png"/><Relationship Id="rId27"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8.png"/><Relationship Id="rId18" Type="http://schemas.openxmlformats.org/officeDocument/2006/relationships/hyperlink" Target="#External!A1"/><Relationship Id="rId26" Type="http://schemas.openxmlformats.org/officeDocument/2006/relationships/image" Target="../media/image17.svg"/><Relationship Id="rId3" Type="http://schemas.openxmlformats.org/officeDocument/2006/relationships/image" Target="../media/image21.svg"/><Relationship Id="rId21" Type="http://schemas.openxmlformats.org/officeDocument/2006/relationships/hyperlink" Target="#Fiscal!A1"/><Relationship Id="rId7" Type="http://schemas.openxmlformats.org/officeDocument/2006/relationships/image" Target="../media/image4.png"/><Relationship Id="rId12" Type="http://schemas.openxmlformats.org/officeDocument/2006/relationships/hyperlink" Target="#Inflation!A1"/><Relationship Id="rId17" Type="http://schemas.openxmlformats.org/officeDocument/2006/relationships/image" Target="../media/image29.svg"/><Relationship Id="rId25" Type="http://schemas.openxmlformats.org/officeDocument/2006/relationships/image" Target="../media/image16.png"/><Relationship Id="rId2" Type="http://schemas.openxmlformats.org/officeDocument/2006/relationships/image" Target="../media/image20.png"/><Relationship Id="rId16" Type="http://schemas.openxmlformats.org/officeDocument/2006/relationships/image" Target="../media/image28.png"/><Relationship Id="rId20" Type="http://schemas.openxmlformats.org/officeDocument/2006/relationships/image" Target="../media/image13.svg"/><Relationship Id="rId1" Type="http://schemas.openxmlformats.org/officeDocument/2006/relationships/hyperlink" Target="#DASHBOARD!A1"/><Relationship Id="rId6" Type="http://schemas.openxmlformats.org/officeDocument/2006/relationships/hyperlink" Target="#'Real Sector'!A1"/><Relationship Id="rId11" Type="http://schemas.openxmlformats.org/officeDocument/2006/relationships/image" Target="../media/image7.svg"/><Relationship Id="rId24" Type="http://schemas.openxmlformats.org/officeDocument/2006/relationships/hyperlink" Target="#Summary!A1"/><Relationship Id="rId5" Type="http://schemas.openxmlformats.org/officeDocument/2006/relationships/image" Target="../media/image3.png"/><Relationship Id="rId15" Type="http://schemas.openxmlformats.org/officeDocument/2006/relationships/hyperlink" Target="#Labour!A1"/><Relationship Id="rId23" Type="http://schemas.openxmlformats.org/officeDocument/2006/relationships/image" Target="../media/image15.svg"/><Relationship Id="rId28" Type="http://schemas.openxmlformats.org/officeDocument/2006/relationships/chart" Target="../charts/chart20.xml"/><Relationship Id="rId10" Type="http://schemas.openxmlformats.org/officeDocument/2006/relationships/image" Target="../media/image6.png"/><Relationship Id="rId19" Type="http://schemas.openxmlformats.org/officeDocument/2006/relationships/image" Target="../media/image12.png"/><Relationship Id="rId4" Type="http://schemas.openxmlformats.org/officeDocument/2006/relationships/chart" Target="../charts/chart18.xml"/><Relationship Id="rId9" Type="http://schemas.openxmlformats.org/officeDocument/2006/relationships/hyperlink" Target="#Monetary!A1"/><Relationship Id="rId14" Type="http://schemas.openxmlformats.org/officeDocument/2006/relationships/image" Target="../media/image9.svg"/><Relationship Id="rId22" Type="http://schemas.openxmlformats.org/officeDocument/2006/relationships/image" Target="../media/image14.png"/><Relationship Id="rId27" Type="http://schemas.openxmlformats.org/officeDocument/2006/relationships/chart" Target="../charts/chart19.xml"/></Relationships>
</file>

<file path=xl/drawings/_rels/drawing8.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8.png"/><Relationship Id="rId18" Type="http://schemas.openxmlformats.org/officeDocument/2006/relationships/hyperlink" Target="#External!A1"/><Relationship Id="rId26" Type="http://schemas.openxmlformats.org/officeDocument/2006/relationships/image" Target="../media/image17.svg"/><Relationship Id="rId3" Type="http://schemas.openxmlformats.org/officeDocument/2006/relationships/image" Target="../media/image21.svg"/><Relationship Id="rId21" Type="http://schemas.openxmlformats.org/officeDocument/2006/relationships/hyperlink" Target="#Fiscal!A1"/><Relationship Id="rId7" Type="http://schemas.openxmlformats.org/officeDocument/2006/relationships/image" Target="../media/image4.png"/><Relationship Id="rId12" Type="http://schemas.openxmlformats.org/officeDocument/2006/relationships/hyperlink" Target="#Inflation!A1"/><Relationship Id="rId17" Type="http://schemas.openxmlformats.org/officeDocument/2006/relationships/image" Target="../media/image11.svg"/><Relationship Id="rId25" Type="http://schemas.openxmlformats.org/officeDocument/2006/relationships/image" Target="../media/image16.png"/><Relationship Id="rId2" Type="http://schemas.openxmlformats.org/officeDocument/2006/relationships/image" Target="../media/image20.png"/><Relationship Id="rId16" Type="http://schemas.openxmlformats.org/officeDocument/2006/relationships/image" Target="../media/image10.png"/><Relationship Id="rId20" Type="http://schemas.openxmlformats.org/officeDocument/2006/relationships/image" Target="../media/image31.svg"/><Relationship Id="rId29" Type="http://schemas.openxmlformats.org/officeDocument/2006/relationships/chart" Target="../charts/chart24.xml"/><Relationship Id="rId1" Type="http://schemas.openxmlformats.org/officeDocument/2006/relationships/hyperlink" Target="#DASHBOARD!A1"/><Relationship Id="rId6" Type="http://schemas.openxmlformats.org/officeDocument/2006/relationships/hyperlink" Target="#'Real Sector'!A1"/><Relationship Id="rId11" Type="http://schemas.openxmlformats.org/officeDocument/2006/relationships/image" Target="../media/image7.svg"/><Relationship Id="rId24" Type="http://schemas.openxmlformats.org/officeDocument/2006/relationships/hyperlink" Target="#Summary!A1"/><Relationship Id="rId5" Type="http://schemas.openxmlformats.org/officeDocument/2006/relationships/image" Target="../media/image3.png"/><Relationship Id="rId15" Type="http://schemas.openxmlformats.org/officeDocument/2006/relationships/hyperlink" Target="#Labour!A1"/><Relationship Id="rId23" Type="http://schemas.openxmlformats.org/officeDocument/2006/relationships/image" Target="../media/image15.svg"/><Relationship Id="rId28" Type="http://schemas.openxmlformats.org/officeDocument/2006/relationships/chart" Target="../charts/chart23.xml"/><Relationship Id="rId10" Type="http://schemas.openxmlformats.org/officeDocument/2006/relationships/image" Target="../media/image6.png"/><Relationship Id="rId19" Type="http://schemas.openxmlformats.org/officeDocument/2006/relationships/image" Target="../media/image30.png"/><Relationship Id="rId4" Type="http://schemas.openxmlformats.org/officeDocument/2006/relationships/chart" Target="../charts/chart21.xml"/><Relationship Id="rId9" Type="http://schemas.openxmlformats.org/officeDocument/2006/relationships/hyperlink" Target="#Monetary!A1"/><Relationship Id="rId14" Type="http://schemas.openxmlformats.org/officeDocument/2006/relationships/image" Target="../media/image9.svg"/><Relationship Id="rId22" Type="http://schemas.openxmlformats.org/officeDocument/2006/relationships/image" Target="../media/image14.png"/><Relationship Id="rId27" Type="http://schemas.openxmlformats.org/officeDocument/2006/relationships/chart" Target="../charts/chart22.xml"/></Relationships>
</file>

<file path=xl/drawings/_rels/drawing9.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8.png"/><Relationship Id="rId18" Type="http://schemas.openxmlformats.org/officeDocument/2006/relationships/hyperlink" Target="#External!A1"/><Relationship Id="rId26" Type="http://schemas.openxmlformats.org/officeDocument/2006/relationships/image" Target="../media/image17.svg"/><Relationship Id="rId3" Type="http://schemas.openxmlformats.org/officeDocument/2006/relationships/image" Target="../media/image21.svg"/><Relationship Id="rId21" Type="http://schemas.openxmlformats.org/officeDocument/2006/relationships/hyperlink" Target="#Fiscal!A1"/><Relationship Id="rId7" Type="http://schemas.openxmlformats.org/officeDocument/2006/relationships/image" Target="../media/image4.png"/><Relationship Id="rId12" Type="http://schemas.openxmlformats.org/officeDocument/2006/relationships/hyperlink" Target="#Inflation!A1"/><Relationship Id="rId17" Type="http://schemas.openxmlformats.org/officeDocument/2006/relationships/image" Target="../media/image11.svg"/><Relationship Id="rId25" Type="http://schemas.openxmlformats.org/officeDocument/2006/relationships/image" Target="../media/image16.png"/><Relationship Id="rId2" Type="http://schemas.openxmlformats.org/officeDocument/2006/relationships/image" Target="../media/image20.png"/><Relationship Id="rId16" Type="http://schemas.openxmlformats.org/officeDocument/2006/relationships/image" Target="../media/image10.png"/><Relationship Id="rId20" Type="http://schemas.openxmlformats.org/officeDocument/2006/relationships/image" Target="../media/image13.svg"/><Relationship Id="rId1" Type="http://schemas.openxmlformats.org/officeDocument/2006/relationships/hyperlink" Target="#DASHBOARD!A1"/><Relationship Id="rId6" Type="http://schemas.openxmlformats.org/officeDocument/2006/relationships/hyperlink" Target="#'Real Sector'!A1"/><Relationship Id="rId11" Type="http://schemas.openxmlformats.org/officeDocument/2006/relationships/image" Target="../media/image7.svg"/><Relationship Id="rId24" Type="http://schemas.openxmlformats.org/officeDocument/2006/relationships/hyperlink" Target="#Summary!A1"/><Relationship Id="rId5" Type="http://schemas.openxmlformats.org/officeDocument/2006/relationships/image" Target="../media/image3.png"/><Relationship Id="rId15" Type="http://schemas.openxmlformats.org/officeDocument/2006/relationships/hyperlink" Target="#Labour!A1"/><Relationship Id="rId23" Type="http://schemas.openxmlformats.org/officeDocument/2006/relationships/image" Target="../media/image33.svg"/><Relationship Id="rId28" Type="http://schemas.openxmlformats.org/officeDocument/2006/relationships/chart" Target="../charts/chart27.xml"/><Relationship Id="rId10" Type="http://schemas.openxmlformats.org/officeDocument/2006/relationships/image" Target="../media/image6.png"/><Relationship Id="rId19" Type="http://schemas.openxmlformats.org/officeDocument/2006/relationships/image" Target="../media/image12.png"/><Relationship Id="rId4" Type="http://schemas.openxmlformats.org/officeDocument/2006/relationships/chart" Target="../charts/chart25.xml"/><Relationship Id="rId9" Type="http://schemas.openxmlformats.org/officeDocument/2006/relationships/hyperlink" Target="#Monetary!A1"/><Relationship Id="rId14" Type="http://schemas.openxmlformats.org/officeDocument/2006/relationships/image" Target="../media/image9.svg"/><Relationship Id="rId22" Type="http://schemas.openxmlformats.org/officeDocument/2006/relationships/image" Target="../media/image32.png"/><Relationship Id="rId27" Type="http://schemas.openxmlformats.org/officeDocument/2006/relationships/chart" Target="../charts/chart26.xml"/></Relationships>
</file>

<file path=xl/drawings/_rels/drawing10.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8.png"/><Relationship Id="rId18" Type="http://schemas.openxmlformats.org/officeDocument/2006/relationships/hyperlink" Target="#External!A1"/><Relationship Id="rId26" Type="http://schemas.openxmlformats.org/officeDocument/2006/relationships/image" Target="../media/image35.svg"/><Relationship Id="rId3" Type="http://schemas.openxmlformats.org/officeDocument/2006/relationships/image" Target="../media/image21.svg"/><Relationship Id="rId21" Type="http://schemas.openxmlformats.org/officeDocument/2006/relationships/hyperlink" Target="#Fiscal!A1"/><Relationship Id="rId7" Type="http://schemas.openxmlformats.org/officeDocument/2006/relationships/image" Target="../media/image4.png"/><Relationship Id="rId12" Type="http://schemas.openxmlformats.org/officeDocument/2006/relationships/hyperlink" Target="#Inflation!A1"/><Relationship Id="rId17" Type="http://schemas.openxmlformats.org/officeDocument/2006/relationships/image" Target="../media/image11.svg"/><Relationship Id="rId25" Type="http://schemas.openxmlformats.org/officeDocument/2006/relationships/image" Target="../media/image34.png"/><Relationship Id="rId2" Type="http://schemas.openxmlformats.org/officeDocument/2006/relationships/image" Target="../media/image20.png"/><Relationship Id="rId16" Type="http://schemas.openxmlformats.org/officeDocument/2006/relationships/image" Target="../media/image10.png"/><Relationship Id="rId20" Type="http://schemas.openxmlformats.org/officeDocument/2006/relationships/image" Target="../media/image13.svg"/><Relationship Id="rId1" Type="http://schemas.openxmlformats.org/officeDocument/2006/relationships/hyperlink" Target="#DASHBOARD!A1"/><Relationship Id="rId6" Type="http://schemas.openxmlformats.org/officeDocument/2006/relationships/hyperlink" Target="#'Real Sector'!A1"/><Relationship Id="rId11" Type="http://schemas.openxmlformats.org/officeDocument/2006/relationships/image" Target="../media/image7.svg"/><Relationship Id="rId24" Type="http://schemas.openxmlformats.org/officeDocument/2006/relationships/hyperlink" Target="#Summary!A1"/><Relationship Id="rId5" Type="http://schemas.openxmlformats.org/officeDocument/2006/relationships/image" Target="../media/image3.png"/><Relationship Id="rId15" Type="http://schemas.openxmlformats.org/officeDocument/2006/relationships/hyperlink" Target="#Labour!A1"/><Relationship Id="rId23" Type="http://schemas.openxmlformats.org/officeDocument/2006/relationships/image" Target="../media/image15.svg"/><Relationship Id="rId10" Type="http://schemas.openxmlformats.org/officeDocument/2006/relationships/image" Target="../media/image6.png"/><Relationship Id="rId19" Type="http://schemas.openxmlformats.org/officeDocument/2006/relationships/image" Target="../media/image12.png"/><Relationship Id="rId4" Type="http://schemas.openxmlformats.org/officeDocument/2006/relationships/chart" Target="../charts/chart28.xml"/><Relationship Id="rId9" Type="http://schemas.openxmlformats.org/officeDocument/2006/relationships/hyperlink" Target="#Monetary!A1"/><Relationship Id="rId14" Type="http://schemas.openxmlformats.org/officeDocument/2006/relationships/image" Target="../media/image9.svg"/><Relationship Id="rId22" Type="http://schemas.openxmlformats.org/officeDocument/2006/relationships/image" Target="../media/image14.png"/><Relationship Id="rId27" Type="http://schemas.openxmlformats.org/officeDocument/2006/relationships/hyperlink" Target="https://share.google/0sv1uhWECpTYUgZQb" TargetMode="External"/></Relationships>
</file>

<file path=xl/drawings/drawing1.xml><?xml version="1.0" encoding="utf-8"?>
<xdr:wsDr xmlns:xdr="http://schemas.openxmlformats.org/drawingml/2006/spreadsheetDrawing" xmlns:a="http://schemas.openxmlformats.org/drawingml/2006/main">
  <xdr:twoCellAnchor>
    <xdr:from>
      <xdr:col>0</xdr:col>
      <xdr:colOff>464820</xdr:colOff>
      <xdr:row>1</xdr:row>
      <xdr:rowOff>83820</xdr:rowOff>
    </xdr:from>
    <xdr:to>
      <xdr:col>1</xdr:col>
      <xdr:colOff>495300</xdr:colOff>
      <xdr:row>3</xdr:row>
      <xdr:rowOff>53340</xdr:rowOff>
    </xdr:to>
    <xdr:sp macro="" textlink="">
      <xdr:nvSpPr>
        <xdr:cNvPr id="2" name="Rectangle 1">
          <a:extLst>
            <a:ext uri="{FF2B5EF4-FFF2-40B4-BE49-F238E27FC236}">
              <a16:creationId xmlns:a16="http://schemas.microsoft.com/office/drawing/2014/main" id="{AD3A6BFB-23CF-4AF1-8EEC-3F0BF5D3AC18}"/>
            </a:ext>
          </a:extLst>
        </xdr:cNvPr>
        <xdr:cNvSpPr/>
      </xdr:nvSpPr>
      <xdr:spPr>
        <a:xfrm>
          <a:off x="464820" y="266700"/>
          <a:ext cx="640080" cy="335280"/>
        </a:xfrm>
        <a:prstGeom prst="rect">
          <a:avLst/>
        </a:prstGeom>
        <a:solidFill>
          <a:srgbClr val="1214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392238</xdr:colOff>
      <xdr:row>0</xdr:row>
      <xdr:rowOff>167640</xdr:rowOff>
    </xdr:from>
    <xdr:to>
      <xdr:col>23</xdr:col>
      <xdr:colOff>156018</xdr:colOff>
      <xdr:row>45</xdr:row>
      <xdr:rowOff>53340</xdr:rowOff>
    </xdr:to>
    <xdr:sp macro="" textlink="">
      <xdr:nvSpPr>
        <xdr:cNvPr id="3" name="Rectangle: Rounded Corners 2">
          <a:extLst>
            <a:ext uri="{FF2B5EF4-FFF2-40B4-BE49-F238E27FC236}">
              <a16:creationId xmlns:a16="http://schemas.microsoft.com/office/drawing/2014/main" id="{6ACB9667-DE3D-4639-BF50-C66F0D88D6D5}"/>
            </a:ext>
          </a:extLst>
        </xdr:cNvPr>
        <xdr:cNvSpPr/>
      </xdr:nvSpPr>
      <xdr:spPr>
        <a:xfrm>
          <a:off x="392238" y="167640"/>
          <a:ext cx="13784580" cy="8115300"/>
        </a:xfrm>
        <a:prstGeom prst="roundRect">
          <a:avLst>
            <a:gd name="adj" fmla="val 6581"/>
          </a:avLst>
        </a:prstGeom>
        <a:gradFill flip="none" rotWithShape="1">
          <a:gsLst>
            <a:gs pos="0">
              <a:srgbClr val="1F2357"/>
            </a:gs>
            <a:gs pos="75000">
              <a:srgbClr val="10123B"/>
            </a:gs>
          </a:gsLst>
          <a:lin ang="8100000" scaled="1"/>
          <a:tileRect/>
        </a:gradFill>
        <a:ln w="9525">
          <a:gradFill flip="none" rotWithShape="1">
            <a:gsLst>
              <a:gs pos="0">
                <a:srgbClr val="4647A6"/>
              </a:gs>
              <a:gs pos="100000">
                <a:srgbClr val="333787"/>
              </a:gs>
            </a:gsLst>
            <a:lin ang="8100000" scaled="1"/>
            <a:tileRect/>
          </a:grad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ru-RU"/>
            <a:t> </a:t>
          </a:r>
        </a:p>
      </xdr:txBody>
    </xdr:sp>
    <xdr:clientData/>
  </xdr:twoCellAnchor>
  <xdr:twoCellAnchor>
    <xdr:from>
      <xdr:col>1</xdr:col>
      <xdr:colOff>116097</xdr:colOff>
      <xdr:row>2</xdr:row>
      <xdr:rowOff>100664</xdr:rowOff>
    </xdr:from>
    <xdr:to>
      <xdr:col>22</xdr:col>
      <xdr:colOff>458997</xdr:colOff>
      <xdr:row>43</xdr:row>
      <xdr:rowOff>99059</xdr:rowOff>
    </xdr:to>
    <xdr:sp macro="" textlink="">
      <xdr:nvSpPr>
        <xdr:cNvPr id="4" name="Rectangle: Rounded Corners 3">
          <a:extLst>
            <a:ext uri="{FF2B5EF4-FFF2-40B4-BE49-F238E27FC236}">
              <a16:creationId xmlns:a16="http://schemas.microsoft.com/office/drawing/2014/main" id="{BB85151F-F985-4DEB-B7B1-4DE3882FE900}"/>
            </a:ext>
          </a:extLst>
        </xdr:cNvPr>
        <xdr:cNvSpPr/>
      </xdr:nvSpPr>
      <xdr:spPr>
        <a:xfrm>
          <a:off x="725697" y="462614"/>
          <a:ext cx="13144500" cy="7418370"/>
        </a:xfrm>
        <a:prstGeom prst="roundRect">
          <a:avLst>
            <a:gd name="adj" fmla="val 5042"/>
          </a:avLst>
        </a:prstGeom>
        <a:gradFill flip="none" rotWithShape="1">
          <a:gsLst>
            <a:gs pos="0">
              <a:srgbClr val="20245A"/>
            </a:gs>
            <a:gs pos="75000">
              <a:srgbClr val="10123B"/>
            </a:gs>
          </a:gsLst>
          <a:lin ang="8100000" scaled="1"/>
          <a:tileRect/>
        </a:gradFill>
        <a:ln w="9525">
          <a:gradFill flip="none" rotWithShape="1">
            <a:gsLst>
              <a:gs pos="0">
                <a:srgbClr val="B9C1FF"/>
              </a:gs>
              <a:gs pos="33000">
                <a:srgbClr val="3D4098"/>
              </a:gs>
              <a:gs pos="100000">
                <a:srgbClr val="333787"/>
              </a:gs>
            </a:gsLst>
            <a:lin ang="9000000" scaled="0"/>
            <a:tileRect/>
          </a:gradFill>
        </a:ln>
        <a:effectLst>
          <a:outerShdw blurRad="2540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99060</xdr:colOff>
      <xdr:row>4</xdr:row>
      <xdr:rowOff>23019</xdr:rowOff>
    </xdr:from>
    <xdr:to>
      <xdr:col>22</xdr:col>
      <xdr:colOff>183490</xdr:colOff>
      <xdr:row>11</xdr:row>
      <xdr:rowOff>125506</xdr:rowOff>
    </xdr:to>
    <xdr:sp macro="" textlink="">
      <xdr:nvSpPr>
        <xdr:cNvPr id="5" name="Rectangle: Rounded Corners 4">
          <a:extLst>
            <a:ext uri="{FF2B5EF4-FFF2-40B4-BE49-F238E27FC236}">
              <a16:creationId xmlns:a16="http://schemas.microsoft.com/office/drawing/2014/main" id="{08F9BC72-E899-462F-B68D-F3090029C4BB}"/>
            </a:ext>
          </a:extLst>
        </xdr:cNvPr>
        <xdr:cNvSpPr/>
      </xdr:nvSpPr>
      <xdr:spPr>
        <a:xfrm>
          <a:off x="2537460" y="740195"/>
          <a:ext cx="11057230" cy="1357546"/>
        </a:xfrm>
        <a:prstGeom prst="roundRect">
          <a:avLst>
            <a:gd name="adj" fmla="val 14979"/>
          </a:avLst>
        </a:prstGeom>
        <a:gradFill>
          <a:gsLst>
            <a:gs pos="97000">
              <a:srgbClr val="2C3076"/>
            </a:gs>
            <a:gs pos="5000">
              <a:srgbClr val="2C3076"/>
            </a:gs>
            <a:gs pos="0">
              <a:srgbClr val="323687"/>
            </a:gs>
            <a:gs pos="100000">
              <a:srgbClr val="22255C"/>
            </a:gs>
          </a:gsLst>
          <a:lin ang="108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132193</xdr:colOff>
      <xdr:row>13</xdr:row>
      <xdr:rowOff>22087</xdr:rowOff>
    </xdr:from>
    <xdr:to>
      <xdr:col>13</xdr:col>
      <xdr:colOff>292213</xdr:colOff>
      <xdr:row>34</xdr:row>
      <xdr:rowOff>134471</xdr:rowOff>
    </xdr:to>
    <xdr:sp macro="" textlink="">
      <xdr:nvSpPr>
        <xdr:cNvPr id="6" name="Rectangle: Rounded Corners 5">
          <a:extLst>
            <a:ext uri="{FF2B5EF4-FFF2-40B4-BE49-F238E27FC236}">
              <a16:creationId xmlns:a16="http://schemas.microsoft.com/office/drawing/2014/main" id="{26812B00-F985-4B59-8C7F-F591FF8166D5}"/>
            </a:ext>
          </a:extLst>
        </xdr:cNvPr>
        <xdr:cNvSpPr/>
      </xdr:nvSpPr>
      <xdr:spPr>
        <a:xfrm>
          <a:off x="2561758" y="2462696"/>
          <a:ext cx="5626542" cy="4054905"/>
        </a:xfrm>
        <a:prstGeom prst="roundRect">
          <a:avLst>
            <a:gd name="adj" fmla="val 7935"/>
          </a:avLst>
        </a:prstGeom>
        <a:gradFill>
          <a:gsLst>
            <a:gs pos="0">
              <a:srgbClr val="323687"/>
            </a:gs>
            <a:gs pos="75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13</xdr:col>
      <xdr:colOff>421341</xdr:colOff>
      <xdr:row>28</xdr:row>
      <xdr:rowOff>66065</xdr:rowOff>
    </xdr:from>
    <xdr:to>
      <xdr:col>17</xdr:col>
      <xdr:colOff>405779</xdr:colOff>
      <xdr:row>42</xdr:row>
      <xdr:rowOff>66065</xdr:rowOff>
    </xdr:to>
    <xdr:sp macro="" textlink="">
      <xdr:nvSpPr>
        <xdr:cNvPr id="10" name="Rectangle: Rounded Corners 9">
          <a:extLst>
            <a:ext uri="{FF2B5EF4-FFF2-40B4-BE49-F238E27FC236}">
              <a16:creationId xmlns:a16="http://schemas.microsoft.com/office/drawing/2014/main" id="{B7D51D18-60F7-41A1-AE95-9C95E7B202C6}"/>
            </a:ext>
          </a:extLst>
        </xdr:cNvPr>
        <xdr:cNvSpPr/>
      </xdr:nvSpPr>
      <xdr:spPr>
        <a:xfrm>
          <a:off x="8346141" y="5086300"/>
          <a:ext cx="2422838" cy="2510118"/>
        </a:xfrm>
        <a:prstGeom prst="roundRect">
          <a:avLst>
            <a:gd name="adj" fmla="val 6885"/>
          </a:avLst>
        </a:prstGeom>
        <a:gradFill>
          <a:gsLst>
            <a:gs pos="0">
              <a:srgbClr val="2E317C"/>
            </a:gs>
            <a:gs pos="50000">
              <a:srgbClr val="10123A"/>
            </a:gs>
          </a:gsLst>
          <a:lin ang="60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18</xdr:col>
      <xdr:colOff>18027</xdr:colOff>
      <xdr:row>28</xdr:row>
      <xdr:rowOff>80683</xdr:rowOff>
    </xdr:from>
    <xdr:to>
      <xdr:col>22</xdr:col>
      <xdr:colOff>139947</xdr:colOff>
      <xdr:row>42</xdr:row>
      <xdr:rowOff>66065</xdr:rowOff>
    </xdr:to>
    <xdr:sp macro="" textlink="">
      <xdr:nvSpPr>
        <xdr:cNvPr id="11" name="Rectangle: Rounded Corners 10">
          <a:extLst>
            <a:ext uri="{FF2B5EF4-FFF2-40B4-BE49-F238E27FC236}">
              <a16:creationId xmlns:a16="http://schemas.microsoft.com/office/drawing/2014/main" id="{82DA28A7-7A35-412B-8826-EAC9D15ECB02}"/>
            </a:ext>
          </a:extLst>
        </xdr:cNvPr>
        <xdr:cNvSpPr/>
      </xdr:nvSpPr>
      <xdr:spPr>
        <a:xfrm>
          <a:off x="10990827" y="5262283"/>
          <a:ext cx="2560320" cy="2576182"/>
        </a:xfrm>
        <a:prstGeom prst="roundRect">
          <a:avLst>
            <a:gd name="adj" fmla="val 7394"/>
          </a:avLst>
        </a:prstGeom>
        <a:gradFill>
          <a:gsLst>
            <a:gs pos="0">
              <a:srgbClr val="2E317C"/>
            </a:gs>
            <a:gs pos="75000">
              <a:srgbClr val="10123A"/>
            </a:gs>
          </a:gsLst>
          <a:lin ang="63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435598</xdr:colOff>
      <xdr:row>7</xdr:row>
      <xdr:rowOff>161730</xdr:rowOff>
    </xdr:from>
    <xdr:to>
      <xdr:col>3</xdr:col>
      <xdr:colOff>498059</xdr:colOff>
      <xdr:row>42</xdr:row>
      <xdr:rowOff>38100</xdr:rowOff>
    </xdr:to>
    <xdr:sp macro="" textlink="">
      <xdr:nvSpPr>
        <xdr:cNvPr id="12" name="Rectangle: Rounded Corners 11">
          <a:extLst>
            <a:ext uri="{FF2B5EF4-FFF2-40B4-BE49-F238E27FC236}">
              <a16:creationId xmlns:a16="http://schemas.microsoft.com/office/drawing/2014/main" id="{C9155FDD-4194-4F71-A55C-7CE467283E59}"/>
            </a:ext>
          </a:extLst>
        </xdr:cNvPr>
        <xdr:cNvSpPr/>
      </xdr:nvSpPr>
      <xdr:spPr>
        <a:xfrm>
          <a:off x="1045198" y="1457130"/>
          <a:ext cx="1281661" cy="6353370"/>
        </a:xfrm>
        <a:prstGeom prst="roundRect">
          <a:avLst>
            <a:gd name="adj" fmla="val 18817"/>
          </a:avLst>
        </a:prstGeom>
        <a:gradFill>
          <a:gsLst>
            <a:gs pos="0">
              <a:srgbClr val="2E317C"/>
            </a:gs>
            <a:gs pos="23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500140</xdr:colOff>
      <xdr:row>8</xdr:row>
      <xdr:rowOff>90747</xdr:rowOff>
    </xdr:from>
    <xdr:to>
      <xdr:col>3</xdr:col>
      <xdr:colOff>405804</xdr:colOff>
      <xdr:row>12</xdr:row>
      <xdr:rowOff>1621</xdr:rowOff>
    </xdr:to>
    <xdr:grpSp>
      <xdr:nvGrpSpPr>
        <xdr:cNvPr id="177" name="Group 176">
          <a:hlinkClick xmlns:r="http://schemas.openxmlformats.org/officeDocument/2006/relationships" r:id="rId1"/>
          <a:extLst>
            <a:ext uri="{FF2B5EF4-FFF2-40B4-BE49-F238E27FC236}">
              <a16:creationId xmlns:a16="http://schemas.microsoft.com/office/drawing/2014/main" id="{FED968DC-0651-38A5-4CF6-D0DA9988D955}"/>
            </a:ext>
          </a:extLst>
        </xdr:cNvPr>
        <xdr:cNvGrpSpPr/>
      </xdr:nvGrpSpPr>
      <xdr:grpSpPr>
        <a:xfrm>
          <a:off x="1109740" y="1538547"/>
          <a:ext cx="1124864" cy="634774"/>
          <a:chOff x="1109740" y="1553787"/>
          <a:chExt cx="1124864" cy="642394"/>
        </a:xfrm>
      </xdr:grpSpPr>
      <xdr:pic>
        <xdr:nvPicPr>
          <xdr:cNvPr id="15" name="Graphic 14" descr="Home with solid fill">
            <a:extLst>
              <a:ext uri="{FF2B5EF4-FFF2-40B4-BE49-F238E27FC236}">
                <a16:creationId xmlns:a16="http://schemas.microsoft.com/office/drawing/2014/main" id="{0B6F6444-DBC2-4299-AC0B-48FB152E41E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56113" y="1553787"/>
            <a:ext cx="426720" cy="426720"/>
          </a:xfrm>
          <a:prstGeom prst="rect">
            <a:avLst/>
          </a:prstGeom>
          <a:effectLst>
            <a:glow rad="101600">
              <a:srgbClr val="0575F1">
                <a:alpha val="40000"/>
              </a:srgbClr>
            </a:glow>
          </a:effectLst>
        </xdr:spPr>
      </xdr:pic>
      <xdr:sp macro="" textlink="#REF!">
        <xdr:nvSpPr>
          <xdr:cNvPr id="16" name="TextBox 15">
            <a:extLst>
              <a:ext uri="{FF2B5EF4-FFF2-40B4-BE49-F238E27FC236}">
                <a16:creationId xmlns:a16="http://schemas.microsoft.com/office/drawing/2014/main" id="{A500C993-8D5C-44BB-8AAC-CE324DED2C60}"/>
              </a:ext>
            </a:extLst>
          </xdr:cNvPr>
          <xdr:cNvSpPr txBox="1"/>
        </xdr:nvSpPr>
        <xdr:spPr>
          <a:xfrm>
            <a:off x="1109740" y="1935244"/>
            <a:ext cx="1124864" cy="260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3D42D12-6D1C-4BD6-BF7A-FB3615575702}" type="TxLink">
              <a:rPr lang="en-US" sz="1400" b="0" i="0" u="none" strike="noStrike">
                <a:solidFill>
                  <a:schemeClr val="bg1"/>
                </a:solidFill>
                <a:latin typeface="Aptos Narrow"/>
                <a:ea typeface="+mn-ea"/>
                <a:cs typeface="+mn-cs"/>
              </a:rPr>
              <a:pPr marL="0" indent="0" algn="ctr"/>
              <a:t>Dashboard</a:t>
            </a:fld>
            <a:endParaRPr lang="ru-RU" sz="1400" b="0" i="0" u="none" strike="noStrike">
              <a:solidFill>
                <a:schemeClr val="bg1"/>
              </a:solidFill>
              <a:latin typeface="Aptos Narrow"/>
              <a:ea typeface="+mn-ea"/>
              <a:cs typeface="+mn-cs"/>
            </a:endParaRPr>
          </a:p>
        </xdr:txBody>
      </xdr:sp>
    </xdr:grpSp>
    <xdr:clientData/>
  </xdr:twoCellAnchor>
  <xdr:twoCellAnchor>
    <xdr:from>
      <xdr:col>14</xdr:col>
      <xdr:colOff>604780</xdr:colOff>
      <xdr:row>13</xdr:row>
      <xdr:rowOff>7620</xdr:rowOff>
    </xdr:from>
    <xdr:to>
      <xdr:col>16</xdr:col>
      <xdr:colOff>363532</xdr:colOff>
      <xdr:row>14</xdr:row>
      <xdr:rowOff>82906</xdr:rowOff>
    </xdr:to>
    <xdr:sp macro="" textlink="$C$60">
      <xdr:nvSpPr>
        <xdr:cNvPr id="47" name="TextBox 46">
          <a:extLst>
            <a:ext uri="{FF2B5EF4-FFF2-40B4-BE49-F238E27FC236}">
              <a16:creationId xmlns:a16="http://schemas.microsoft.com/office/drawing/2014/main" id="{A26BA900-819F-43E0-B61C-236DBE4A8158}"/>
            </a:ext>
          </a:extLst>
        </xdr:cNvPr>
        <xdr:cNvSpPr txBox="1"/>
      </xdr:nvSpPr>
      <xdr:spPr>
        <a:xfrm>
          <a:off x="9139180" y="2385060"/>
          <a:ext cx="977952"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A33B9D-F834-4294-BE87-29F6752F0B43}" type="TxLink">
            <a:rPr lang="en-US" sz="1200" b="0" i="0" u="none" strike="noStrike">
              <a:solidFill>
                <a:schemeClr val="tx2">
                  <a:lumMod val="25000"/>
                  <a:lumOff val="75000"/>
                </a:schemeClr>
              </a:solidFill>
              <a:latin typeface="Aptos Narrow"/>
            </a:rPr>
            <a:pPr algn="ctr"/>
            <a:t> </a:t>
          </a:fld>
          <a:endParaRPr lang="ru-RU" sz="1600" b="0">
            <a:solidFill>
              <a:schemeClr val="tx2">
                <a:lumMod val="25000"/>
                <a:lumOff val="75000"/>
              </a:schemeClr>
            </a:solidFill>
          </a:endParaRPr>
        </a:p>
      </xdr:txBody>
    </xdr:sp>
    <xdr:clientData/>
  </xdr:twoCellAnchor>
  <xdr:twoCellAnchor>
    <xdr:from>
      <xdr:col>14</xdr:col>
      <xdr:colOff>604780</xdr:colOff>
      <xdr:row>14</xdr:row>
      <xdr:rowOff>63292</xdr:rowOff>
    </xdr:from>
    <xdr:to>
      <xdr:col>16</xdr:col>
      <xdr:colOff>363532</xdr:colOff>
      <xdr:row>15</xdr:row>
      <xdr:rowOff>164395</xdr:rowOff>
    </xdr:to>
    <xdr:sp macro="" textlink="$D$55">
      <xdr:nvSpPr>
        <xdr:cNvPr id="48" name="TextBox 47">
          <a:extLst>
            <a:ext uri="{FF2B5EF4-FFF2-40B4-BE49-F238E27FC236}">
              <a16:creationId xmlns:a16="http://schemas.microsoft.com/office/drawing/2014/main" id="{4864BBE2-F9F9-4E1C-AA1C-EC5BEC7851EF}"/>
            </a:ext>
          </a:extLst>
        </xdr:cNvPr>
        <xdr:cNvSpPr txBox="1"/>
      </xdr:nvSpPr>
      <xdr:spPr>
        <a:xfrm>
          <a:off x="9139180" y="2623612"/>
          <a:ext cx="977952" cy="28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C2A362-1984-4E0F-B2F1-1722CB1B7A1B}" type="TxLink">
            <a:rPr lang="en-US" sz="2400" b="0" i="0" u="none" strike="noStrike">
              <a:solidFill>
                <a:schemeClr val="bg1"/>
              </a:solidFill>
              <a:latin typeface="Aptos Narrow"/>
            </a:rPr>
            <a:pPr algn="ctr"/>
            <a:t> </a:t>
          </a:fld>
          <a:endParaRPr lang="ru-RU" sz="2400" b="0">
            <a:solidFill>
              <a:schemeClr val="bg1"/>
            </a:solidFill>
          </a:endParaRPr>
        </a:p>
      </xdr:txBody>
    </xdr:sp>
    <xdr:clientData/>
  </xdr:twoCellAnchor>
  <xdr:twoCellAnchor>
    <xdr:from>
      <xdr:col>7</xdr:col>
      <xdr:colOff>332740</xdr:colOff>
      <xdr:row>20</xdr:row>
      <xdr:rowOff>124968</xdr:rowOff>
    </xdr:from>
    <xdr:to>
      <xdr:col>13</xdr:col>
      <xdr:colOff>434341</xdr:colOff>
      <xdr:row>34</xdr:row>
      <xdr:rowOff>45720</xdr:rowOff>
    </xdr:to>
    <xdr:graphicFrame macro="">
      <xdr:nvGraphicFramePr>
        <xdr:cNvPr id="72" name="Chart 71" hidden="1">
          <a:extLst>
            <a:ext uri="{FF2B5EF4-FFF2-40B4-BE49-F238E27FC236}">
              <a16:creationId xmlns:a16="http://schemas.microsoft.com/office/drawing/2014/main" id="{2E2E2137-A839-4789-9811-184603CE92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392614</xdr:colOff>
      <xdr:row>25</xdr:row>
      <xdr:rowOff>63955</xdr:rowOff>
    </xdr:from>
    <xdr:to>
      <xdr:col>15</xdr:col>
      <xdr:colOff>404806</xdr:colOff>
      <xdr:row>29</xdr:row>
      <xdr:rowOff>127963</xdr:rowOff>
    </xdr:to>
    <xdr:sp macro="" textlink="$D$76">
      <xdr:nvSpPr>
        <xdr:cNvPr id="79" name="TextBox 78">
          <a:extLst>
            <a:ext uri="{FF2B5EF4-FFF2-40B4-BE49-F238E27FC236}">
              <a16:creationId xmlns:a16="http://schemas.microsoft.com/office/drawing/2014/main" id="{328D8401-B828-410F-9D4A-859EF8587B6A}"/>
            </a:ext>
          </a:extLst>
        </xdr:cNvPr>
        <xdr:cNvSpPr txBox="1"/>
      </xdr:nvSpPr>
      <xdr:spPr>
        <a:xfrm>
          <a:off x="8927014" y="4635955"/>
          <a:ext cx="621792" cy="795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1AC67DD-5614-4ED2-B1AD-9682E26BEFA2}" type="TxLink">
            <a:rPr lang="en-US" sz="800" b="0" i="0" u="none" strike="noStrike">
              <a:solidFill>
                <a:schemeClr val="tx2">
                  <a:lumMod val="25000"/>
                  <a:lumOff val="75000"/>
                </a:schemeClr>
              </a:solidFill>
              <a:latin typeface="Aptos Narrow"/>
            </a:rPr>
            <a:pPr algn="l"/>
            <a:t> </a:t>
          </a:fld>
          <a:endParaRPr lang="ru-RU" sz="800" b="0">
            <a:solidFill>
              <a:schemeClr val="tx2">
                <a:lumMod val="25000"/>
                <a:lumOff val="75000"/>
              </a:schemeClr>
            </a:solidFill>
          </a:endParaRPr>
        </a:p>
      </xdr:txBody>
    </xdr:sp>
    <xdr:clientData/>
  </xdr:twoCellAnchor>
  <xdr:twoCellAnchor>
    <xdr:from>
      <xdr:col>19</xdr:col>
      <xdr:colOff>34668</xdr:colOff>
      <xdr:row>22</xdr:row>
      <xdr:rowOff>147769</xdr:rowOff>
    </xdr:from>
    <xdr:to>
      <xdr:col>20</xdr:col>
      <xdr:colOff>447672</xdr:colOff>
      <xdr:row>24</xdr:row>
      <xdr:rowOff>40175</xdr:rowOff>
    </xdr:to>
    <xdr:sp macro="" textlink="$A$53">
      <xdr:nvSpPr>
        <xdr:cNvPr id="95" name="TextBox 94">
          <a:extLst>
            <a:ext uri="{FF2B5EF4-FFF2-40B4-BE49-F238E27FC236}">
              <a16:creationId xmlns:a16="http://schemas.microsoft.com/office/drawing/2014/main" id="{D08302D4-8412-43A2-831F-4C9CAE169315}"/>
            </a:ext>
          </a:extLst>
        </xdr:cNvPr>
        <xdr:cNvSpPr txBox="1"/>
      </xdr:nvSpPr>
      <xdr:spPr>
        <a:xfrm>
          <a:off x="11617068" y="4171129"/>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1732DB7-45E1-47AD-8A64-12C1477C1F51}" type="TxLink">
            <a:rPr lang="en-US" sz="1400" b="0" i="0" u="none" strike="noStrike">
              <a:solidFill>
                <a:schemeClr val="tx2">
                  <a:lumMod val="25000"/>
                  <a:lumOff val="75000"/>
                </a:schemeClr>
              </a:solidFill>
              <a:latin typeface="Aptos Narrow"/>
            </a:rPr>
            <a:pPr algn="l"/>
            <a:t> </a:t>
          </a:fld>
          <a:endParaRPr lang="ru-RU" sz="2000">
            <a:solidFill>
              <a:schemeClr val="tx2">
                <a:lumMod val="25000"/>
                <a:lumOff val="75000"/>
              </a:schemeClr>
            </a:solidFill>
          </a:endParaRPr>
        </a:p>
      </xdr:txBody>
    </xdr:sp>
    <xdr:clientData/>
  </xdr:twoCellAnchor>
  <xdr:twoCellAnchor>
    <xdr:from>
      <xdr:col>19</xdr:col>
      <xdr:colOff>34668</xdr:colOff>
      <xdr:row>25</xdr:row>
      <xdr:rowOff>48666</xdr:rowOff>
    </xdr:from>
    <xdr:to>
      <xdr:col>20</xdr:col>
      <xdr:colOff>447672</xdr:colOff>
      <xdr:row>26</xdr:row>
      <xdr:rowOff>123952</xdr:rowOff>
    </xdr:to>
    <xdr:sp macro="" textlink="$A$54">
      <xdr:nvSpPr>
        <xdr:cNvPr id="96" name="TextBox 95">
          <a:extLst>
            <a:ext uri="{FF2B5EF4-FFF2-40B4-BE49-F238E27FC236}">
              <a16:creationId xmlns:a16="http://schemas.microsoft.com/office/drawing/2014/main" id="{843B9816-105E-4107-B62E-E22EEF7565F5}"/>
            </a:ext>
          </a:extLst>
        </xdr:cNvPr>
        <xdr:cNvSpPr txBox="1"/>
      </xdr:nvSpPr>
      <xdr:spPr>
        <a:xfrm>
          <a:off x="11617068" y="4620666"/>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4132016-B00B-4926-87EE-A0F664231BBC}" type="TxLink">
            <a:rPr lang="en-US" sz="1400" b="0" i="0" u="none" strike="noStrike">
              <a:solidFill>
                <a:schemeClr val="tx2">
                  <a:lumMod val="25000"/>
                  <a:lumOff val="75000"/>
                </a:schemeClr>
              </a:solidFill>
              <a:latin typeface="Aptos Narrow"/>
            </a:rPr>
            <a:pPr algn="l"/>
            <a:t> </a:t>
          </a:fld>
          <a:endParaRPr lang="ru-RU" sz="1600">
            <a:solidFill>
              <a:schemeClr val="tx2">
                <a:lumMod val="25000"/>
                <a:lumOff val="75000"/>
              </a:schemeClr>
            </a:solidFill>
          </a:endParaRPr>
        </a:p>
      </xdr:txBody>
    </xdr:sp>
    <xdr:clientData/>
  </xdr:twoCellAnchor>
  <xdr:twoCellAnchor>
    <xdr:from>
      <xdr:col>19</xdr:col>
      <xdr:colOff>34668</xdr:colOff>
      <xdr:row>27</xdr:row>
      <xdr:rowOff>132443</xdr:rowOff>
    </xdr:from>
    <xdr:to>
      <xdr:col>20</xdr:col>
      <xdr:colOff>447672</xdr:colOff>
      <xdr:row>29</xdr:row>
      <xdr:rowOff>24849</xdr:rowOff>
    </xdr:to>
    <xdr:sp macro="" textlink="$A$55">
      <xdr:nvSpPr>
        <xdr:cNvPr id="97" name="TextBox 96">
          <a:extLst>
            <a:ext uri="{FF2B5EF4-FFF2-40B4-BE49-F238E27FC236}">
              <a16:creationId xmlns:a16="http://schemas.microsoft.com/office/drawing/2014/main" id="{F5E1A5D1-7C69-4D1D-81DE-A1C27FF30122}"/>
            </a:ext>
          </a:extLst>
        </xdr:cNvPr>
        <xdr:cNvSpPr txBox="1"/>
      </xdr:nvSpPr>
      <xdr:spPr>
        <a:xfrm>
          <a:off x="11617068" y="5070203"/>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800EC6F-4F9A-4655-982C-0D43CE89D16F}" type="TxLink">
            <a:rPr lang="en-US" sz="1400" b="0" i="0" u="none" strike="noStrike">
              <a:solidFill>
                <a:schemeClr val="tx2">
                  <a:lumMod val="25000"/>
                  <a:lumOff val="75000"/>
                </a:schemeClr>
              </a:solidFill>
              <a:latin typeface="Aptos Narrow"/>
            </a:rPr>
            <a:pPr algn="l"/>
            <a:t> </a:t>
          </a:fld>
          <a:endParaRPr lang="ru-RU" sz="2000">
            <a:solidFill>
              <a:schemeClr val="tx2">
                <a:lumMod val="25000"/>
                <a:lumOff val="75000"/>
              </a:schemeClr>
            </a:solidFill>
          </a:endParaRPr>
        </a:p>
      </xdr:txBody>
    </xdr:sp>
    <xdr:clientData/>
  </xdr:twoCellAnchor>
  <xdr:twoCellAnchor>
    <xdr:from>
      <xdr:col>19</xdr:col>
      <xdr:colOff>34668</xdr:colOff>
      <xdr:row>30</xdr:row>
      <xdr:rowOff>33340</xdr:rowOff>
    </xdr:from>
    <xdr:to>
      <xdr:col>20</xdr:col>
      <xdr:colOff>447672</xdr:colOff>
      <xdr:row>31</xdr:row>
      <xdr:rowOff>108626</xdr:rowOff>
    </xdr:to>
    <xdr:sp macro="" textlink="$A$56">
      <xdr:nvSpPr>
        <xdr:cNvPr id="98" name="TextBox 97">
          <a:extLst>
            <a:ext uri="{FF2B5EF4-FFF2-40B4-BE49-F238E27FC236}">
              <a16:creationId xmlns:a16="http://schemas.microsoft.com/office/drawing/2014/main" id="{C9D9BB71-63D1-4EA6-AD02-3454820BF297}"/>
            </a:ext>
          </a:extLst>
        </xdr:cNvPr>
        <xdr:cNvSpPr txBox="1"/>
      </xdr:nvSpPr>
      <xdr:spPr>
        <a:xfrm>
          <a:off x="11617068" y="5519740"/>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8C18B09-F15C-49A8-BDC9-19B94F66EBF7}" type="TxLink">
            <a:rPr lang="en-US" sz="1400" b="0" i="0" u="none" strike="noStrike">
              <a:solidFill>
                <a:schemeClr val="tx2">
                  <a:lumMod val="25000"/>
                  <a:lumOff val="75000"/>
                </a:schemeClr>
              </a:solidFill>
              <a:latin typeface="Aptos Narrow"/>
              <a:ea typeface="+mn-ea"/>
              <a:cs typeface="+mn-cs"/>
            </a:rPr>
            <a:pPr marL="0" indent="0" algn="l"/>
            <a:t> </a:t>
          </a:fld>
          <a:endParaRPr lang="ru-RU" sz="1400" b="0" i="0" u="none" strike="noStrike">
            <a:solidFill>
              <a:schemeClr val="tx2">
                <a:lumMod val="25000"/>
                <a:lumOff val="75000"/>
              </a:schemeClr>
            </a:solidFill>
            <a:latin typeface="Aptos Narrow"/>
            <a:ea typeface="+mn-ea"/>
            <a:cs typeface="+mn-cs"/>
          </a:endParaRPr>
        </a:p>
      </xdr:txBody>
    </xdr:sp>
    <xdr:clientData/>
  </xdr:twoCellAnchor>
  <xdr:twoCellAnchor>
    <xdr:from>
      <xdr:col>20</xdr:col>
      <xdr:colOff>263268</xdr:colOff>
      <xdr:row>22</xdr:row>
      <xdr:rowOff>147769</xdr:rowOff>
    </xdr:from>
    <xdr:to>
      <xdr:col>22</xdr:col>
      <xdr:colOff>66672</xdr:colOff>
      <xdr:row>24</xdr:row>
      <xdr:rowOff>40175</xdr:rowOff>
    </xdr:to>
    <xdr:sp macro="" textlink="$B$53">
      <xdr:nvSpPr>
        <xdr:cNvPr id="101" name="TextBox 100">
          <a:extLst>
            <a:ext uri="{FF2B5EF4-FFF2-40B4-BE49-F238E27FC236}">
              <a16:creationId xmlns:a16="http://schemas.microsoft.com/office/drawing/2014/main" id="{527A64B8-3D26-4A3A-8507-8B5D456D7EFA}"/>
            </a:ext>
          </a:extLst>
        </xdr:cNvPr>
        <xdr:cNvSpPr txBox="1"/>
      </xdr:nvSpPr>
      <xdr:spPr>
        <a:xfrm>
          <a:off x="12455268" y="4171129"/>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E47465B1-4BE7-4C23-8B11-42192BF425CF}" type="TxLink">
            <a:rPr lang="en-US" sz="1400" b="0" i="0" u="none" strike="noStrike">
              <a:solidFill>
                <a:schemeClr val="tx2">
                  <a:lumMod val="25000"/>
                  <a:lumOff val="75000"/>
                </a:schemeClr>
              </a:solidFill>
              <a:latin typeface="Aptos Narrow"/>
            </a:rPr>
            <a:pPr algn="r"/>
            <a:t> </a:t>
          </a:fld>
          <a:endParaRPr lang="ru-RU" sz="2800">
            <a:solidFill>
              <a:schemeClr val="tx2">
                <a:lumMod val="25000"/>
                <a:lumOff val="75000"/>
              </a:schemeClr>
            </a:solidFill>
          </a:endParaRPr>
        </a:p>
      </xdr:txBody>
    </xdr:sp>
    <xdr:clientData/>
  </xdr:twoCellAnchor>
  <xdr:twoCellAnchor>
    <xdr:from>
      <xdr:col>20</xdr:col>
      <xdr:colOff>263268</xdr:colOff>
      <xdr:row>25</xdr:row>
      <xdr:rowOff>48666</xdr:rowOff>
    </xdr:from>
    <xdr:to>
      <xdr:col>22</xdr:col>
      <xdr:colOff>66672</xdr:colOff>
      <xdr:row>26</xdr:row>
      <xdr:rowOff>123952</xdr:rowOff>
    </xdr:to>
    <xdr:sp macro="" textlink="$B$54">
      <xdr:nvSpPr>
        <xdr:cNvPr id="102" name="TextBox 101">
          <a:extLst>
            <a:ext uri="{FF2B5EF4-FFF2-40B4-BE49-F238E27FC236}">
              <a16:creationId xmlns:a16="http://schemas.microsoft.com/office/drawing/2014/main" id="{5A69BB37-CCA8-4526-8C95-B91DA270F141}"/>
            </a:ext>
          </a:extLst>
        </xdr:cNvPr>
        <xdr:cNvSpPr txBox="1"/>
      </xdr:nvSpPr>
      <xdr:spPr>
        <a:xfrm>
          <a:off x="12455268" y="4620666"/>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3204228-334F-480A-BAD4-3079A2B6170F}" type="TxLink">
            <a:rPr lang="en-US" sz="1400" b="0" i="0" u="none" strike="noStrike">
              <a:solidFill>
                <a:schemeClr val="tx2">
                  <a:lumMod val="25000"/>
                  <a:lumOff val="75000"/>
                </a:schemeClr>
              </a:solidFill>
              <a:latin typeface="Aptos Narrow"/>
            </a:rPr>
            <a:pPr algn="r"/>
            <a:t> </a:t>
          </a:fld>
          <a:endParaRPr lang="ru-RU" sz="2000">
            <a:solidFill>
              <a:schemeClr val="tx2">
                <a:lumMod val="25000"/>
                <a:lumOff val="75000"/>
              </a:schemeClr>
            </a:solidFill>
          </a:endParaRPr>
        </a:p>
      </xdr:txBody>
    </xdr:sp>
    <xdr:clientData/>
  </xdr:twoCellAnchor>
  <xdr:twoCellAnchor>
    <xdr:from>
      <xdr:col>20</xdr:col>
      <xdr:colOff>263268</xdr:colOff>
      <xdr:row>27</xdr:row>
      <xdr:rowOff>132443</xdr:rowOff>
    </xdr:from>
    <xdr:to>
      <xdr:col>22</xdr:col>
      <xdr:colOff>66672</xdr:colOff>
      <xdr:row>29</xdr:row>
      <xdr:rowOff>24849</xdr:rowOff>
    </xdr:to>
    <xdr:sp macro="" textlink="$B$55">
      <xdr:nvSpPr>
        <xdr:cNvPr id="103" name="TextBox 102">
          <a:extLst>
            <a:ext uri="{FF2B5EF4-FFF2-40B4-BE49-F238E27FC236}">
              <a16:creationId xmlns:a16="http://schemas.microsoft.com/office/drawing/2014/main" id="{6CEA5420-FD97-4573-A689-9023B4ED70B8}"/>
            </a:ext>
          </a:extLst>
        </xdr:cNvPr>
        <xdr:cNvSpPr txBox="1"/>
      </xdr:nvSpPr>
      <xdr:spPr>
        <a:xfrm>
          <a:off x="12455268" y="5070203"/>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E9644FEF-9BA8-41DF-881D-E8A1244A7CAE}" type="TxLink">
            <a:rPr lang="en-US" sz="1400" b="0" i="0" u="none" strike="noStrike">
              <a:solidFill>
                <a:schemeClr val="tx2">
                  <a:lumMod val="25000"/>
                  <a:lumOff val="75000"/>
                </a:schemeClr>
              </a:solidFill>
              <a:latin typeface="Aptos Narrow"/>
            </a:rPr>
            <a:pPr algn="r"/>
            <a:t> </a:t>
          </a:fld>
          <a:endParaRPr lang="ru-RU" sz="2800">
            <a:solidFill>
              <a:schemeClr val="tx2">
                <a:lumMod val="25000"/>
                <a:lumOff val="75000"/>
              </a:schemeClr>
            </a:solidFill>
          </a:endParaRPr>
        </a:p>
      </xdr:txBody>
    </xdr:sp>
    <xdr:clientData/>
  </xdr:twoCellAnchor>
  <xdr:twoCellAnchor>
    <xdr:from>
      <xdr:col>20</xdr:col>
      <xdr:colOff>328582</xdr:colOff>
      <xdr:row>32</xdr:row>
      <xdr:rowOff>109539</xdr:rowOff>
    </xdr:from>
    <xdr:to>
      <xdr:col>22</xdr:col>
      <xdr:colOff>131986</xdr:colOff>
      <xdr:row>33</xdr:row>
      <xdr:rowOff>184825</xdr:rowOff>
    </xdr:to>
    <xdr:sp macro="" textlink="$B$56">
      <xdr:nvSpPr>
        <xdr:cNvPr id="104" name="TextBox 103">
          <a:extLst>
            <a:ext uri="{FF2B5EF4-FFF2-40B4-BE49-F238E27FC236}">
              <a16:creationId xmlns:a16="http://schemas.microsoft.com/office/drawing/2014/main" id="{27D0D8D3-A9D2-44FC-9911-0DB702506C17}"/>
            </a:ext>
          </a:extLst>
        </xdr:cNvPr>
        <xdr:cNvSpPr txBox="1"/>
      </xdr:nvSpPr>
      <xdr:spPr>
        <a:xfrm>
          <a:off x="12520582" y="6031368"/>
          <a:ext cx="1022604" cy="260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8F9D2ED-7794-4CAD-A140-112658E75D64}" type="TxLink">
            <a:rPr lang="en-US" sz="1400" b="0" i="0" u="none" strike="noStrike">
              <a:solidFill>
                <a:schemeClr val="tx2">
                  <a:lumMod val="25000"/>
                  <a:lumOff val="75000"/>
                </a:schemeClr>
              </a:solidFill>
              <a:latin typeface="Aptos Narrow"/>
              <a:ea typeface="+mn-ea"/>
              <a:cs typeface="+mn-cs"/>
            </a:rPr>
            <a:pPr marL="0" indent="0" algn="r"/>
            <a:t>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20</xdr:col>
      <xdr:colOff>263268</xdr:colOff>
      <xdr:row>32</xdr:row>
      <xdr:rowOff>117117</xdr:rowOff>
    </xdr:from>
    <xdr:to>
      <xdr:col>22</xdr:col>
      <xdr:colOff>66672</xdr:colOff>
      <xdr:row>34</xdr:row>
      <xdr:rowOff>9523</xdr:rowOff>
    </xdr:to>
    <xdr:sp macro="" textlink="$B$57">
      <xdr:nvSpPr>
        <xdr:cNvPr id="105" name="TextBox 104">
          <a:extLst>
            <a:ext uri="{FF2B5EF4-FFF2-40B4-BE49-F238E27FC236}">
              <a16:creationId xmlns:a16="http://schemas.microsoft.com/office/drawing/2014/main" id="{0CE85FC9-EB31-4F03-8ED9-C94C8208089E}"/>
            </a:ext>
          </a:extLst>
        </xdr:cNvPr>
        <xdr:cNvSpPr txBox="1"/>
      </xdr:nvSpPr>
      <xdr:spPr>
        <a:xfrm>
          <a:off x="12455268" y="596927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34374E5-FE8C-4C24-ABA4-7352FE20634F}" type="TxLink">
            <a:rPr lang="en-US" sz="1400" b="0" i="0" u="none" strike="noStrike">
              <a:solidFill>
                <a:schemeClr val="tx2">
                  <a:lumMod val="25000"/>
                  <a:lumOff val="75000"/>
                </a:schemeClr>
              </a:solidFill>
              <a:latin typeface="Aptos Narrow"/>
              <a:ea typeface="+mn-ea"/>
              <a:cs typeface="+mn-cs"/>
            </a:rPr>
            <a:pPr marL="0" indent="0" algn="r"/>
            <a:t>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2</xdr:col>
      <xdr:colOff>251460</xdr:colOff>
      <xdr:row>3</xdr:row>
      <xdr:rowOff>175260</xdr:rowOff>
    </xdr:from>
    <xdr:to>
      <xdr:col>4</xdr:col>
      <xdr:colOff>10212</xdr:colOff>
      <xdr:row>6</xdr:row>
      <xdr:rowOff>137160</xdr:rowOff>
    </xdr:to>
    <xdr:sp macro="" textlink="#REF!">
      <xdr:nvSpPr>
        <xdr:cNvPr id="107" name="TextBox 106">
          <a:extLst>
            <a:ext uri="{FF2B5EF4-FFF2-40B4-BE49-F238E27FC236}">
              <a16:creationId xmlns:a16="http://schemas.microsoft.com/office/drawing/2014/main" id="{A934ED97-52DA-43E7-814B-767C4B40639E}"/>
            </a:ext>
          </a:extLst>
        </xdr:cNvPr>
        <xdr:cNvSpPr txBox="1"/>
      </xdr:nvSpPr>
      <xdr:spPr>
        <a:xfrm>
          <a:off x="1470660" y="723900"/>
          <a:ext cx="977952" cy="510540"/>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chemeClr val="tx2">
                  <a:lumMod val="10000"/>
                  <a:lumOff val="90000"/>
                </a:schemeClr>
              </a:solidFill>
              <a:latin typeface="Aptos Narrow"/>
              <a:ea typeface="+mn-ea"/>
              <a:cs typeface="+mn-cs"/>
            </a:rPr>
            <a:t>Macro Economics</a:t>
          </a:r>
          <a:endParaRPr lang="ru-RU" sz="1200" b="0" i="0" u="none" strike="noStrike">
            <a:solidFill>
              <a:schemeClr val="tx2">
                <a:lumMod val="10000"/>
                <a:lumOff val="90000"/>
              </a:schemeClr>
            </a:solidFill>
            <a:latin typeface="Aptos Narrow"/>
            <a:ea typeface="+mn-ea"/>
            <a:cs typeface="+mn-cs"/>
          </a:endParaRPr>
        </a:p>
      </xdr:txBody>
    </xdr:sp>
    <xdr:clientData/>
  </xdr:twoCellAnchor>
  <xdr:twoCellAnchor>
    <xdr:from>
      <xdr:col>2</xdr:col>
      <xdr:colOff>266700</xdr:colOff>
      <xdr:row>4</xdr:row>
      <xdr:rowOff>64770</xdr:rowOff>
    </xdr:from>
    <xdr:to>
      <xdr:col>2</xdr:col>
      <xdr:colOff>266700</xdr:colOff>
      <xdr:row>6</xdr:row>
      <xdr:rowOff>64770</xdr:rowOff>
    </xdr:to>
    <xdr:cxnSp macro="">
      <xdr:nvCxnSpPr>
        <xdr:cNvPr id="108" name="Straight Connector 107">
          <a:extLst>
            <a:ext uri="{FF2B5EF4-FFF2-40B4-BE49-F238E27FC236}">
              <a16:creationId xmlns:a16="http://schemas.microsoft.com/office/drawing/2014/main" id="{305ACA9F-115A-4C1D-87D1-DDC72FAF610E}"/>
            </a:ext>
          </a:extLst>
        </xdr:cNvPr>
        <xdr:cNvCxnSpPr/>
      </xdr:nvCxnSpPr>
      <xdr:spPr>
        <a:xfrm>
          <a:off x="1485900" y="796290"/>
          <a:ext cx="0" cy="365760"/>
        </a:xfrm>
        <a:prstGeom prst="line">
          <a:avLst/>
        </a:prstGeom>
        <a:ln w="9525">
          <a:solidFill>
            <a:schemeClr val="tx2">
              <a:lumMod val="25000"/>
              <a:lumOff val="75000"/>
            </a:schemeClr>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xdr:col>
      <xdr:colOff>385482</xdr:colOff>
      <xdr:row>4</xdr:row>
      <xdr:rowOff>116542</xdr:rowOff>
    </xdr:from>
    <xdr:to>
      <xdr:col>2</xdr:col>
      <xdr:colOff>215153</xdr:colOff>
      <xdr:row>6</xdr:row>
      <xdr:rowOff>18932</xdr:rowOff>
    </xdr:to>
    <xdr:pic>
      <xdr:nvPicPr>
        <xdr:cNvPr id="138" name="Picture 137">
          <a:extLst>
            <a:ext uri="{FF2B5EF4-FFF2-40B4-BE49-F238E27FC236}">
              <a16:creationId xmlns:a16="http://schemas.microsoft.com/office/drawing/2014/main" id="{0FDD9D94-6558-174B-481F-61673EE78F76}"/>
            </a:ext>
          </a:extLst>
        </xdr:cNvPr>
        <xdr:cNvPicPr>
          <a:picLocks noChangeAspect="1"/>
        </xdr:cNvPicPr>
      </xdr:nvPicPr>
      <xdr:blipFill>
        <a:blip xmlns:r="http://schemas.openxmlformats.org/officeDocument/2006/relationships" r:embed="rId5"/>
        <a:stretch>
          <a:fillRect/>
        </a:stretch>
      </xdr:blipFill>
      <xdr:spPr>
        <a:xfrm>
          <a:off x="995082" y="833718"/>
          <a:ext cx="439271" cy="260979"/>
        </a:xfrm>
        <a:prstGeom prst="rect">
          <a:avLst/>
        </a:prstGeom>
      </xdr:spPr>
    </xdr:pic>
    <xdr:clientData/>
  </xdr:twoCellAnchor>
  <xdr:twoCellAnchor>
    <xdr:from>
      <xdr:col>1</xdr:col>
      <xdr:colOff>514296</xdr:colOff>
      <xdr:row>12</xdr:row>
      <xdr:rowOff>31339</xdr:rowOff>
    </xdr:from>
    <xdr:to>
      <xdr:col>3</xdr:col>
      <xdr:colOff>419960</xdr:colOff>
      <xdr:row>16</xdr:row>
      <xdr:rowOff>5418</xdr:rowOff>
    </xdr:to>
    <xdr:grpSp>
      <xdr:nvGrpSpPr>
        <xdr:cNvPr id="178" name="Group 177">
          <a:hlinkClick xmlns:r="http://schemas.openxmlformats.org/officeDocument/2006/relationships" r:id="rId6"/>
          <a:extLst>
            <a:ext uri="{FF2B5EF4-FFF2-40B4-BE49-F238E27FC236}">
              <a16:creationId xmlns:a16="http://schemas.microsoft.com/office/drawing/2014/main" id="{66A5776F-5349-1687-C679-FC9F0EB9AA42}"/>
            </a:ext>
          </a:extLst>
        </xdr:cNvPr>
        <xdr:cNvGrpSpPr/>
      </xdr:nvGrpSpPr>
      <xdr:grpSpPr>
        <a:xfrm>
          <a:off x="1123896" y="2203039"/>
          <a:ext cx="1124864" cy="697979"/>
          <a:chOff x="1123896" y="2225899"/>
          <a:chExt cx="1124864" cy="705599"/>
        </a:xfrm>
      </xdr:grpSpPr>
      <xdr:sp macro="" textlink="#REF!">
        <xdr:nvSpPr>
          <xdr:cNvPr id="139" name="TextBox 138">
            <a:extLst>
              <a:ext uri="{FF2B5EF4-FFF2-40B4-BE49-F238E27FC236}">
                <a16:creationId xmlns:a16="http://schemas.microsoft.com/office/drawing/2014/main" id="{42F22AB2-C9C8-02AE-C34B-C5126A456D96}"/>
              </a:ext>
            </a:extLst>
          </xdr:cNvPr>
          <xdr:cNvSpPr txBox="1"/>
        </xdr:nvSpPr>
        <xdr:spPr>
          <a:xfrm>
            <a:off x="1123896" y="2675982"/>
            <a:ext cx="1124864" cy="255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Real Sector</a:t>
            </a:r>
          </a:p>
        </xdr:txBody>
      </xdr:sp>
      <xdr:pic>
        <xdr:nvPicPr>
          <xdr:cNvPr id="156" name="Graphic 155" descr="Factory outline">
            <a:extLst>
              <a:ext uri="{FF2B5EF4-FFF2-40B4-BE49-F238E27FC236}">
                <a16:creationId xmlns:a16="http://schemas.microsoft.com/office/drawing/2014/main" id="{45B97A36-BDF6-3468-9274-803461AA946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421216" y="2225899"/>
            <a:ext cx="527019" cy="535332"/>
          </a:xfrm>
          <a:prstGeom prst="rect">
            <a:avLst/>
          </a:prstGeom>
        </xdr:spPr>
      </xdr:pic>
    </xdr:grpSp>
    <xdr:clientData/>
  </xdr:twoCellAnchor>
  <xdr:twoCellAnchor>
    <xdr:from>
      <xdr:col>1</xdr:col>
      <xdr:colOff>493513</xdr:colOff>
      <xdr:row>16</xdr:row>
      <xdr:rowOff>44807</xdr:rowOff>
    </xdr:from>
    <xdr:to>
      <xdr:col>3</xdr:col>
      <xdr:colOff>399177</xdr:colOff>
      <xdr:row>20</xdr:row>
      <xdr:rowOff>10031</xdr:rowOff>
    </xdr:to>
    <xdr:grpSp>
      <xdr:nvGrpSpPr>
        <xdr:cNvPr id="179" name="Group 178">
          <a:hlinkClick xmlns:r="http://schemas.openxmlformats.org/officeDocument/2006/relationships" r:id="rId9"/>
          <a:extLst>
            <a:ext uri="{FF2B5EF4-FFF2-40B4-BE49-F238E27FC236}">
              <a16:creationId xmlns:a16="http://schemas.microsoft.com/office/drawing/2014/main" id="{1947A5F4-7D9E-67DC-6D1F-BD9C6E0EC7D2}"/>
            </a:ext>
          </a:extLst>
        </xdr:cNvPr>
        <xdr:cNvGrpSpPr/>
      </xdr:nvGrpSpPr>
      <xdr:grpSpPr>
        <a:xfrm>
          <a:off x="1103113" y="2940407"/>
          <a:ext cx="1124864" cy="689124"/>
          <a:chOff x="1103113" y="2970887"/>
          <a:chExt cx="1124864" cy="696744"/>
        </a:xfrm>
      </xdr:grpSpPr>
      <xdr:pic>
        <xdr:nvPicPr>
          <xdr:cNvPr id="154" name="Graphic 153" descr="Bank outline">
            <a:extLst>
              <a:ext uri="{FF2B5EF4-FFF2-40B4-BE49-F238E27FC236}">
                <a16:creationId xmlns:a16="http://schemas.microsoft.com/office/drawing/2014/main" id="{79DCE092-E75D-B9A0-710E-C226A924F35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401163" y="2970887"/>
            <a:ext cx="535254" cy="538929"/>
          </a:xfrm>
          <a:prstGeom prst="rect">
            <a:avLst/>
          </a:prstGeom>
        </xdr:spPr>
      </xdr:pic>
      <xdr:sp macro="" textlink="#REF!">
        <xdr:nvSpPr>
          <xdr:cNvPr id="157" name="TextBox 156">
            <a:extLst>
              <a:ext uri="{FF2B5EF4-FFF2-40B4-BE49-F238E27FC236}">
                <a16:creationId xmlns:a16="http://schemas.microsoft.com/office/drawing/2014/main" id="{02B2AC52-59A7-9B21-A0B7-6503EC4A0010}"/>
              </a:ext>
            </a:extLst>
          </xdr:cNvPr>
          <xdr:cNvSpPr txBox="1"/>
        </xdr:nvSpPr>
        <xdr:spPr>
          <a:xfrm>
            <a:off x="1103113" y="3411300"/>
            <a:ext cx="1124864" cy="256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Monetary</a:t>
            </a:r>
          </a:p>
        </xdr:txBody>
      </xdr:sp>
    </xdr:grpSp>
    <xdr:clientData/>
  </xdr:twoCellAnchor>
  <xdr:twoCellAnchor>
    <xdr:from>
      <xdr:col>1</xdr:col>
      <xdr:colOff>493514</xdr:colOff>
      <xdr:row>20</xdr:row>
      <xdr:rowOff>46105</xdr:rowOff>
    </xdr:from>
    <xdr:to>
      <xdr:col>3</xdr:col>
      <xdr:colOff>399178</xdr:colOff>
      <xdr:row>24</xdr:row>
      <xdr:rowOff>14643</xdr:rowOff>
    </xdr:to>
    <xdr:grpSp>
      <xdr:nvGrpSpPr>
        <xdr:cNvPr id="180" name="Group 179">
          <a:hlinkClick xmlns:r="http://schemas.openxmlformats.org/officeDocument/2006/relationships" r:id="rId12"/>
          <a:extLst>
            <a:ext uri="{FF2B5EF4-FFF2-40B4-BE49-F238E27FC236}">
              <a16:creationId xmlns:a16="http://schemas.microsoft.com/office/drawing/2014/main" id="{D9CEB3C6-CB78-82EB-CE8A-D1A36DA0AF60}"/>
            </a:ext>
          </a:extLst>
        </xdr:cNvPr>
        <xdr:cNvGrpSpPr/>
      </xdr:nvGrpSpPr>
      <xdr:grpSpPr>
        <a:xfrm>
          <a:off x="1103114" y="3665605"/>
          <a:ext cx="1124864" cy="692438"/>
          <a:chOff x="1103114" y="3703705"/>
          <a:chExt cx="1124864" cy="700058"/>
        </a:xfrm>
      </xdr:grpSpPr>
      <xdr:pic>
        <xdr:nvPicPr>
          <xdr:cNvPr id="152" name="Graphic 151" descr="Upward trend with solid fill">
            <a:extLst>
              <a:ext uri="{FF2B5EF4-FFF2-40B4-BE49-F238E27FC236}">
                <a16:creationId xmlns:a16="http://schemas.microsoft.com/office/drawing/2014/main" id="{2DD57165-4587-2C82-F6AC-58E4056F5AE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404870" y="3703705"/>
            <a:ext cx="537654" cy="545967"/>
          </a:xfrm>
          <a:prstGeom prst="rect">
            <a:avLst/>
          </a:prstGeom>
        </xdr:spPr>
      </xdr:pic>
      <xdr:sp macro="" textlink="#REF!">
        <xdr:nvSpPr>
          <xdr:cNvPr id="160" name="TextBox 159">
            <a:extLst>
              <a:ext uri="{FF2B5EF4-FFF2-40B4-BE49-F238E27FC236}">
                <a16:creationId xmlns:a16="http://schemas.microsoft.com/office/drawing/2014/main" id="{A5DD006C-672A-08BD-BC08-4E576E008B2C}"/>
              </a:ext>
            </a:extLst>
          </xdr:cNvPr>
          <xdr:cNvSpPr txBox="1"/>
        </xdr:nvSpPr>
        <xdr:spPr>
          <a:xfrm>
            <a:off x="1103114" y="4147432"/>
            <a:ext cx="1124864" cy="256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Inflation</a:t>
            </a:r>
          </a:p>
        </xdr:txBody>
      </xdr:sp>
    </xdr:grpSp>
    <xdr:clientData/>
  </xdr:twoCellAnchor>
  <xdr:twoCellAnchor>
    <xdr:from>
      <xdr:col>1</xdr:col>
      <xdr:colOff>521223</xdr:colOff>
      <xdr:row>24</xdr:row>
      <xdr:rowOff>33423</xdr:rowOff>
    </xdr:from>
    <xdr:to>
      <xdr:col>3</xdr:col>
      <xdr:colOff>426887</xdr:colOff>
      <xdr:row>28</xdr:row>
      <xdr:rowOff>19256</xdr:rowOff>
    </xdr:to>
    <xdr:grpSp>
      <xdr:nvGrpSpPr>
        <xdr:cNvPr id="181" name="Group 180">
          <a:hlinkClick xmlns:r="http://schemas.openxmlformats.org/officeDocument/2006/relationships" r:id="rId15"/>
          <a:extLst>
            <a:ext uri="{FF2B5EF4-FFF2-40B4-BE49-F238E27FC236}">
              <a16:creationId xmlns:a16="http://schemas.microsoft.com/office/drawing/2014/main" id="{A111B4D9-A459-86C6-9233-57799E9E4904}"/>
            </a:ext>
          </a:extLst>
        </xdr:cNvPr>
        <xdr:cNvGrpSpPr/>
      </xdr:nvGrpSpPr>
      <xdr:grpSpPr>
        <a:xfrm>
          <a:off x="1130823" y="4376823"/>
          <a:ext cx="1124864" cy="709733"/>
          <a:chOff x="1130823" y="4422543"/>
          <a:chExt cx="1124864" cy="717353"/>
        </a:xfrm>
      </xdr:grpSpPr>
      <xdr:pic>
        <xdr:nvPicPr>
          <xdr:cNvPr id="150" name="Graphic 149" descr="Construction worker male outline">
            <a:extLst>
              <a:ext uri="{FF2B5EF4-FFF2-40B4-BE49-F238E27FC236}">
                <a16:creationId xmlns:a16="http://schemas.microsoft.com/office/drawing/2014/main" id="{BED0E8F3-2143-871F-A21E-11457E577D66}"/>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423402" y="4422543"/>
            <a:ext cx="540054" cy="548367"/>
          </a:xfrm>
          <a:prstGeom prst="rect">
            <a:avLst/>
          </a:prstGeom>
        </xdr:spPr>
      </xdr:pic>
      <xdr:sp macro="" textlink="#REF!">
        <xdr:nvSpPr>
          <xdr:cNvPr id="162" name="TextBox 161">
            <a:extLst>
              <a:ext uri="{FF2B5EF4-FFF2-40B4-BE49-F238E27FC236}">
                <a16:creationId xmlns:a16="http://schemas.microsoft.com/office/drawing/2014/main" id="{07246730-88B3-CA19-29BD-618CB7F0AA2A}"/>
              </a:ext>
            </a:extLst>
          </xdr:cNvPr>
          <xdr:cNvSpPr txBox="1"/>
        </xdr:nvSpPr>
        <xdr:spPr>
          <a:xfrm>
            <a:off x="1130823" y="4883565"/>
            <a:ext cx="1124864" cy="256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Labour</a:t>
            </a:r>
          </a:p>
        </xdr:txBody>
      </xdr:sp>
    </xdr:grpSp>
    <xdr:clientData/>
  </xdr:twoCellAnchor>
  <xdr:twoCellAnchor>
    <xdr:from>
      <xdr:col>1</xdr:col>
      <xdr:colOff>514296</xdr:colOff>
      <xdr:row>28</xdr:row>
      <xdr:rowOff>41325</xdr:rowOff>
    </xdr:from>
    <xdr:to>
      <xdr:col>3</xdr:col>
      <xdr:colOff>419960</xdr:colOff>
      <xdr:row>32</xdr:row>
      <xdr:rowOff>23868</xdr:rowOff>
    </xdr:to>
    <xdr:grpSp>
      <xdr:nvGrpSpPr>
        <xdr:cNvPr id="182" name="Group 181">
          <a:hlinkClick xmlns:r="http://schemas.openxmlformats.org/officeDocument/2006/relationships" r:id="rId18"/>
          <a:extLst>
            <a:ext uri="{FF2B5EF4-FFF2-40B4-BE49-F238E27FC236}">
              <a16:creationId xmlns:a16="http://schemas.microsoft.com/office/drawing/2014/main" id="{097D1BFC-11F2-6D1E-F7BA-B3177E0D595B}"/>
            </a:ext>
          </a:extLst>
        </xdr:cNvPr>
        <xdr:cNvGrpSpPr/>
      </xdr:nvGrpSpPr>
      <xdr:grpSpPr>
        <a:xfrm>
          <a:off x="1123896" y="5108625"/>
          <a:ext cx="1124864" cy="706443"/>
          <a:chOff x="1123896" y="5161965"/>
          <a:chExt cx="1124864" cy="714063"/>
        </a:xfrm>
      </xdr:grpSpPr>
      <xdr:pic>
        <xdr:nvPicPr>
          <xdr:cNvPr id="148" name="Graphic 147" descr="Miscellaneous outline">
            <a:extLst>
              <a:ext uri="{FF2B5EF4-FFF2-40B4-BE49-F238E27FC236}">
                <a16:creationId xmlns:a16="http://schemas.microsoft.com/office/drawing/2014/main" id="{2846324F-BB8D-12FE-14BD-BE82E52E1351}"/>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391164" y="5161965"/>
            <a:ext cx="616527" cy="624839"/>
          </a:xfrm>
          <a:prstGeom prst="rect">
            <a:avLst/>
          </a:prstGeom>
        </xdr:spPr>
      </xdr:pic>
      <xdr:sp macro="" textlink="#REF!">
        <xdr:nvSpPr>
          <xdr:cNvPr id="164" name="TextBox 163">
            <a:extLst>
              <a:ext uri="{FF2B5EF4-FFF2-40B4-BE49-F238E27FC236}">
                <a16:creationId xmlns:a16="http://schemas.microsoft.com/office/drawing/2014/main" id="{C55FA5A3-D548-3E0B-1038-AE0923B8D3D0}"/>
              </a:ext>
            </a:extLst>
          </xdr:cNvPr>
          <xdr:cNvSpPr txBox="1"/>
        </xdr:nvSpPr>
        <xdr:spPr>
          <a:xfrm>
            <a:off x="1123896" y="5619697"/>
            <a:ext cx="1124864" cy="256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External</a:t>
            </a:r>
          </a:p>
        </xdr:txBody>
      </xdr:sp>
    </xdr:grpSp>
    <xdr:clientData/>
  </xdr:twoCellAnchor>
  <xdr:twoCellAnchor>
    <xdr:from>
      <xdr:col>1</xdr:col>
      <xdr:colOff>521224</xdr:colOff>
      <xdr:row>31</xdr:row>
      <xdr:rowOff>149881</xdr:rowOff>
    </xdr:from>
    <xdr:to>
      <xdr:col>3</xdr:col>
      <xdr:colOff>426888</xdr:colOff>
      <xdr:row>36</xdr:row>
      <xdr:rowOff>28481</xdr:rowOff>
    </xdr:to>
    <xdr:grpSp>
      <xdr:nvGrpSpPr>
        <xdr:cNvPr id="183" name="Group 182">
          <a:hlinkClick xmlns:r="http://schemas.openxmlformats.org/officeDocument/2006/relationships" r:id="rId21"/>
          <a:extLst>
            <a:ext uri="{FF2B5EF4-FFF2-40B4-BE49-F238E27FC236}">
              <a16:creationId xmlns:a16="http://schemas.microsoft.com/office/drawing/2014/main" id="{B5A8D239-FA7B-DDBE-D44F-E476D81826EA}"/>
            </a:ext>
          </a:extLst>
        </xdr:cNvPr>
        <xdr:cNvGrpSpPr/>
      </xdr:nvGrpSpPr>
      <xdr:grpSpPr>
        <a:xfrm>
          <a:off x="1130824" y="5760106"/>
          <a:ext cx="1124864" cy="783475"/>
          <a:chOff x="1130824" y="5819161"/>
          <a:chExt cx="1124864" cy="793000"/>
        </a:xfrm>
      </xdr:grpSpPr>
      <xdr:pic>
        <xdr:nvPicPr>
          <xdr:cNvPr id="146" name="Graphic 145" descr="Scales of justice outline">
            <a:extLst>
              <a:ext uri="{FF2B5EF4-FFF2-40B4-BE49-F238E27FC236}">
                <a16:creationId xmlns:a16="http://schemas.microsoft.com/office/drawing/2014/main" id="{D2448364-65F4-5E69-3618-A9E75DC3F5C7}"/>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410764" y="5819161"/>
            <a:ext cx="586418" cy="598317"/>
          </a:xfrm>
          <a:prstGeom prst="rect">
            <a:avLst/>
          </a:prstGeom>
        </xdr:spPr>
      </xdr:pic>
      <xdr:sp macro="" textlink="#REF!">
        <xdr:nvSpPr>
          <xdr:cNvPr id="166" name="TextBox 165">
            <a:extLst>
              <a:ext uri="{FF2B5EF4-FFF2-40B4-BE49-F238E27FC236}">
                <a16:creationId xmlns:a16="http://schemas.microsoft.com/office/drawing/2014/main" id="{65A89393-C035-731D-1F81-DD004D4D46B4}"/>
              </a:ext>
            </a:extLst>
          </xdr:cNvPr>
          <xdr:cNvSpPr txBox="1"/>
        </xdr:nvSpPr>
        <xdr:spPr>
          <a:xfrm>
            <a:off x="1130824" y="6355830"/>
            <a:ext cx="1124864" cy="256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Fiscal</a:t>
            </a:r>
          </a:p>
        </xdr:txBody>
      </xdr:sp>
    </xdr:grpSp>
    <xdr:clientData/>
  </xdr:twoCellAnchor>
  <xdr:twoCellAnchor>
    <xdr:from>
      <xdr:col>1</xdr:col>
      <xdr:colOff>521224</xdr:colOff>
      <xdr:row>36</xdr:row>
      <xdr:rowOff>57807</xdr:rowOff>
    </xdr:from>
    <xdr:to>
      <xdr:col>3</xdr:col>
      <xdr:colOff>426888</xdr:colOff>
      <xdr:row>40</xdr:row>
      <xdr:rowOff>29510</xdr:rowOff>
    </xdr:to>
    <xdr:grpSp>
      <xdr:nvGrpSpPr>
        <xdr:cNvPr id="184" name="Group 183">
          <a:hlinkClick xmlns:r="http://schemas.openxmlformats.org/officeDocument/2006/relationships" r:id="rId24"/>
          <a:extLst>
            <a:ext uri="{FF2B5EF4-FFF2-40B4-BE49-F238E27FC236}">
              <a16:creationId xmlns:a16="http://schemas.microsoft.com/office/drawing/2014/main" id="{5873DA76-5ACC-935C-6C0E-F5A10D92B78C}"/>
            </a:ext>
          </a:extLst>
        </xdr:cNvPr>
        <xdr:cNvGrpSpPr/>
      </xdr:nvGrpSpPr>
      <xdr:grpSpPr>
        <a:xfrm>
          <a:off x="1130824" y="6572907"/>
          <a:ext cx="1124864" cy="695603"/>
          <a:chOff x="1130824" y="6641487"/>
          <a:chExt cx="1124864" cy="703223"/>
        </a:xfrm>
      </xdr:grpSpPr>
      <xdr:pic>
        <xdr:nvPicPr>
          <xdr:cNvPr id="144" name="Graphic 143" descr="Closed book outline">
            <a:extLst>
              <a:ext uri="{FF2B5EF4-FFF2-40B4-BE49-F238E27FC236}">
                <a16:creationId xmlns:a16="http://schemas.microsoft.com/office/drawing/2014/main" id="{519812A4-2373-CCDE-22D8-97E43878E964}"/>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1417845" y="6641487"/>
            <a:ext cx="508802" cy="516057"/>
          </a:xfrm>
          <a:prstGeom prst="rect">
            <a:avLst/>
          </a:prstGeom>
        </xdr:spPr>
      </xdr:pic>
      <xdr:sp macro="" textlink="#REF!">
        <xdr:nvSpPr>
          <xdr:cNvPr id="168" name="TextBox 167">
            <a:extLst>
              <a:ext uri="{FF2B5EF4-FFF2-40B4-BE49-F238E27FC236}">
                <a16:creationId xmlns:a16="http://schemas.microsoft.com/office/drawing/2014/main" id="{F24B3DF1-F0C6-0FA6-CB4C-62844C2DA1EE}"/>
              </a:ext>
            </a:extLst>
          </xdr:cNvPr>
          <xdr:cNvSpPr txBox="1"/>
        </xdr:nvSpPr>
        <xdr:spPr>
          <a:xfrm>
            <a:off x="1130824" y="7091965"/>
            <a:ext cx="1124864" cy="252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Summary</a:t>
            </a:r>
          </a:p>
        </xdr:txBody>
      </xdr:sp>
    </xdr:grpSp>
    <xdr:clientData/>
  </xdr:twoCellAnchor>
  <xdr:twoCellAnchor editAs="oneCell">
    <xdr:from>
      <xdr:col>4</xdr:col>
      <xdr:colOff>233079</xdr:colOff>
      <xdr:row>4</xdr:row>
      <xdr:rowOff>144781</xdr:rowOff>
    </xdr:from>
    <xdr:to>
      <xdr:col>22</xdr:col>
      <xdr:colOff>17928</xdr:colOff>
      <xdr:row>11</xdr:row>
      <xdr:rowOff>17929</xdr:rowOff>
    </xdr:to>
    <mc:AlternateContent xmlns:mc="http://schemas.openxmlformats.org/markup-compatibility/2006" xmlns:a14="http://schemas.microsoft.com/office/drawing/2010/main">
      <mc:Choice Requires="a14">
        <xdr:graphicFrame macro="">
          <xdr:nvGraphicFramePr>
            <xdr:cNvPr id="185" name="Year">
              <a:extLst>
                <a:ext uri="{FF2B5EF4-FFF2-40B4-BE49-F238E27FC236}">
                  <a16:creationId xmlns:a16="http://schemas.microsoft.com/office/drawing/2014/main" id="{CA02FEA0-53B9-4BF8-BB80-DDEF6DE99E2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671479" y="885010"/>
              <a:ext cx="10757649" cy="11685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259080</xdr:colOff>
      <xdr:row>14</xdr:row>
      <xdr:rowOff>32271</xdr:rowOff>
    </xdr:from>
    <xdr:to>
      <xdr:col>13</xdr:col>
      <xdr:colOff>190500</xdr:colOff>
      <xdr:row>34</xdr:row>
      <xdr:rowOff>39892</xdr:rowOff>
    </xdr:to>
    <xdr:graphicFrame macro="">
      <xdr:nvGraphicFramePr>
        <xdr:cNvPr id="186" name="Chart 185">
          <a:extLst>
            <a:ext uri="{FF2B5EF4-FFF2-40B4-BE49-F238E27FC236}">
              <a16:creationId xmlns:a16="http://schemas.microsoft.com/office/drawing/2014/main" id="{3DC02D1A-DC0A-4F98-99AA-F7C3F5139D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4</xdr:col>
      <xdr:colOff>144442</xdr:colOff>
      <xdr:row>35</xdr:row>
      <xdr:rowOff>85344</xdr:rowOff>
    </xdr:from>
    <xdr:to>
      <xdr:col>8</xdr:col>
      <xdr:colOff>370114</xdr:colOff>
      <xdr:row>41</xdr:row>
      <xdr:rowOff>176784</xdr:rowOff>
    </xdr:to>
    <xdr:grpSp>
      <xdr:nvGrpSpPr>
        <xdr:cNvPr id="1028" name="Group 1027">
          <a:extLst>
            <a:ext uri="{FF2B5EF4-FFF2-40B4-BE49-F238E27FC236}">
              <a16:creationId xmlns:a16="http://schemas.microsoft.com/office/drawing/2014/main" id="{DC045D9C-F795-C099-CD77-62D67D0E43B5}"/>
            </a:ext>
          </a:extLst>
        </xdr:cNvPr>
        <xdr:cNvGrpSpPr/>
      </xdr:nvGrpSpPr>
      <xdr:grpSpPr>
        <a:xfrm>
          <a:off x="2582842" y="6419469"/>
          <a:ext cx="2664072" cy="1177290"/>
          <a:chOff x="2561071" y="6605887"/>
          <a:chExt cx="1889009" cy="1201783"/>
        </a:xfrm>
      </xdr:grpSpPr>
      <xdr:sp macro="" textlink="">
        <xdr:nvSpPr>
          <xdr:cNvPr id="14" name="Rectangle: Rounded Corners 13">
            <a:extLst>
              <a:ext uri="{FF2B5EF4-FFF2-40B4-BE49-F238E27FC236}">
                <a16:creationId xmlns:a16="http://schemas.microsoft.com/office/drawing/2014/main" id="{A7A85DEB-45BF-4ABF-9D1A-DC7F07711EDF}"/>
              </a:ext>
            </a:extLst>
          </xdr:cNvPr>
          <xdr:cNvSpPr/>
        </xdr:nvSpPr>
        <xdr:spPr>
          <a:xfrm>
            <a:off x="2561071" y="6605887"/>
            <a:ext cx="1889009" cy="1201783"/>
          </a:xfrm>
          <a:prstGeom prst="roundRect">
            <a:avLst>
              <a:gd name="adj" fmla="val 15574"/>
            </a:avLst>
          </a:prstGeom>
          <a:gradFill>
            <a:gsLst>
              <a:gs pos="0">
                <a:srgbClr val="202356"/>
              </a:gs>
              <a:gs pos="40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187" name="TextBox 186">
            <a:extLst>
              <a:ext uri="{FF2B5EF4-FFF2-40B4-BE49-F238E27FC236}">
                <a16:creationId xmlns:a16="http://schemas.microsoft.com/office/drawing/2014/main" id="{EFB908C6-9C39-42CB-E4E9-FCBC9BB193F8}"/>
              </a:ext>
            </a:extLst>
          </xdr:cNvPr>
          <xdr:cNvSpPr txBox="1"/>
        </xdr:nvSpPr>
        <xdr:spPr>
          <a:xfrm>
            <a:off x="2689662" y="6677786"/>
            <a:ext cx="1630680" cy="427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a:solidFill>
                  <a:schemeClr val="bg1"/>
                </a:solidFill>
              </a:rPr>
              <a:t>Real GDP Growth</a:t>
            </a:r>
          </a:p>
        </xdr:txBody>
      </xdr:sp>
      <xdr:sp macro="" textlink="Processing!D28">
        <xdr:nvSpPr>
          <xdr:cNvPr id="188" name="TextBox 187">
            <a:extLst>
              <a:ext uri="{FF2B5EF4-FFF2-40B4-BE49-F238E27FC236}">
                <a16:creationId xmlns:a16="http://schemas.microsoft.com/office/drawing/2014/main" id="{4ED1FB45-26FB-6783-7ED2-FD622556F899}"/>
              </a:ext>
            </a:extLst>
          </xdr:cNvPr>
          <xdr:cNvSpPr txBox="1"/>
        </xdr:nvSpPr>
        <xdr:spPr>
          <a:xfrm>
            <a:off x="2689663" y="7127366"/>
            <a:ext cx="1630680" cy="47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9BD211-D232-4508-958A-147EF70EEB42}" type="TxLink">
              <a:rPr lang="en-US" sz="4800" b="0" i="0" u="none" strike="noStrike">
                <a:solidFill>
                  <a:srgbClr val="00B050"/>
                </a:solidFill>
                <a:latin typeface="Aptos Narrow"/>
              </a:rPr>
              <a:pPr algn="ctr"/>
              <a:t>26.22</a:t>
            </a:fld>
            <a:endParaRPr lang="en-US" sz="7200" b="0">
              <a:solidFill>
                <a:srgbClr val="00B050"/>
              </a:solidFill>
            </a:endParaRPr>
          </a:p>
        </xdr:txBody>
      </xdr:sp>
    </xdr:grpSp>
    <xdr:clientData/>
  </xdr:twoCellAnchor>
  <xdr:twoCellAnchor>
    <xdr:from>
      <xdr:col>8</xdr:col>
      <xdr:colOff>563541</xdr:colOff>
      <xdr:row>35</xdr:row>
      <xdr:rowOff>10885</xdr:rowOff>
    </xdr:from>
    <xdr:to>
      <xdr:col>13</xdr:col>
      <xdr:colOff>272141</xdr:colOff>
      <xdr:row>42</xdr:row>
      <xdr:rowOff>5878</xdr:rowOff>
    </xdr:to>
    <xdr:grpSp>
      <xdr:nvGrpSpPr>
        <xdr:cNvPr id="1026" name="Group 1025">
          <a:extLst>
            <a:ext uri="{FF2B5EF4-FFF2-40B4-BE49-F238E27FC236}">
              <a16:creationId xmlns:a16="http://schemas.microsoft.com/office/drawing/2014/main" id="{23419D21-F1E3-0DD0-C502-D07287371642}"/>
            </a:ext>
          </a:extLst>
        </xdr:cNvPr>
        <xdr:cNvGrpSpPr/>
      </xdr:nvGrpSpPr>
      <xdr:grpSpPr>
        <a:xfrm>
          <a:off x="5440341" y="6345010"/>
          <a:ext cx="2756600" cy="1261818"/>
          <a:chOff x="4580371" y="6509657"/>
          <a:chExt cx="1889327" cy="1290393"/>
        </a:xfrm>
      </xdr:grpSpPr>
      <xdr:sp macro="" textlink="">
        <xdr:nvSpPr>
          <xdr:cNvPr id="189" name="Rectangle: Rounded Corners 188">
            <a:extLst>
              <a:ext uri="{FF2B5EF4-FFF2-40B4-BE49-F238E27FC236}">
                <a16:creationId xmlns:a16="http://schemas.microsoft.com/office/drawing/2014/main" id="{19FE2B37-F575-AED5-AC80-D49800E3E56E}"/>
              </a:ext>
            </a:extLst>
          </xdr:cNvPr>
          <xdr:cNvSpPr/>
        </xdr:nvSpPr>
        <xdr:spPr>
          <a:xfrm>
            <a:off x="4580371" y="6598267"/>
            <a:ext cx="1889009" cy="1201783"/>
          </a:xfrm>
          <a:prstGeom prst="roundRect">
            <a:avLst>
              <a:gd name="adj" fmla="val 15574"/>
            </a:avLst>
          </a:prstGeom>
          <a:gradFill>
            <a:gsLst>
              <a:gs pos="0">
                <a:srgbClr val="202356"/>
              </a:gs>
              <a:gs pos="40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nvGrpSpPr>
          <xdr:cNvPr id="1024" name="Group 1023">
            <a:extLst>
              <a:ext uri="{FF2B5EF4-FFF2-40B4-BE49-F238E27FC236}">
                <a16:creationId xmlns:a16="http://schemas.microsoft.com/office/drawing/2014/main" id="{62780711-275E-3AE6-B905-86DB0BFD269E}"/>
              </a:ext>
            </a:extLst>
          </xdr:cNvPr>
          <xdr:cNvGrpSpPr/>
        </xdr:nvGrpSpPr>
        <xdr:grpSpPr>
          <a:xfrm>
            <a:off x="4602798" y="6509657"/>
            <a:ext cx="1866900" cy="1065712"/>
            <a:chOff x="4602798" y="6509657"/>
            <a:chExt cx="1866900" cy="1065712"/>
          </a:xfrm>
        </xdr:grpSpPr>
        <xdr:sp macro="" textlink="Processing!E28">
          <xdr:nvSpPr>
            <xdr:cNvPr id="190" name="TextBox 189">
              <a:extLst>
                <a:ext uri="{FF2B5EF4-FFF2-40B4-BE49-F238E27FC236}">
                  <a16:creationId xmlns:a16="http://schemas.microsoft.com/office/drawing/2014/main" id="{79219006-80B9-5A9F-64AA-C0B0EE52749B}"/>
                </a:ext>
              </a:extLst>
            </xdr:cNvPr>
            <xdr:cNvSpPr txBox="1"/>
          </xdr:nvSpPr>
          <xdr:spPr>
            <a:xfrm>
              <a:off x="4724559" y="7102329"/>
              <a:ext cx="1630680" cy="47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813028C-D3CF-45AA-A959-BFD4A591FBCC}" type="TxLink">
                <a:rPr lang="en-US" sz="4800" b="0" i="0" u="none" strike="noStrike">
                  <a:solidFill>
                    <a:srgbClr val="FF00FF"/>
                  </a:solidFill>
                  <a:latin typeface="Aptos Narrow"/>
                </a:rPr>
                <a:pPr algn="ctr"/>
                <a:t>37.22</a:t>
              </a:fld>
              <a:endParaRPr lang="en-US" sz="49600" b="0">
                <a:solidFill>
                  <a:srgbClr val="FF00FF"/>
                </a:solidFill>
              </a:endParaRPr>
            </a:p>
          </xdr:txBody>
        </xdr:sp>
        <xdr:sp macro="" textlink="">
          <xdr:nvSpPr>
            <xdr:cNvPr id="191" name="TextBox 190">
              <a:extLst>
                <a:ext uri="{FF2B5EF4-FFF2-40B4-BE49-F238E27FC236}">
                  <a16:creationId xmlns:a16="http://schemas.microsoft.com/office/drawing/2014/main" id="{1899DE78-3F1B-C3FB-4153-8FE97D9364DF}"/>
                </a:ext>
              </a:extLst>
            </xdr:cNvPr>
            <xdr:cNvSpPr txBox="1"/>
          </xdr:nvSpPr>
          <xdr:spPr>
            <a:xfrm>
              <a:off x="4602798" y="6509657"/>
              <a:ext cx="1866900" cy="755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a:solidFill>
                    <a:schemeClr val="bg1"/>
                  </a:solidFill>
                </a:rPr>
                <a:t>GDP Per</a:t>
              </a:r>
              <a:r>
                <a:rPr lang="en-US" sz="1600" b="0" baseline="0">
                  <a:solidFill>
                    <a:schemeClr val="bg1"/>
                  </a:solidFill>
                </a:rPr>
                <a:t> Capita </a:t>
              </a:r>
              <a:r>
                <a:rPr lang="en-US" sz="1600" b="0">
                  <a:solidFill>
                    <a:schemeClr val="bg1"/>
                  </a:solidFill>
                </a:rPr>
                <a:t>Growth</a:t>
              </a:r>
            </a:p>
          </xdr:txBody>
        </xdr:sp>
      </xdr:grpSp>
    </xdr:grpSp>
    <xdr:clientData/>
  </xdr:twoCellAnchor>
  <xdr:twoCellAnchor>
    <xdr:from>
      <xdr:col>13</xdr:col>
      <xdr:colOff>402771</xdr:colOff>
      <xdr:row>28</xdr:row>
      <xdr:rowOff>76199</xdr:rowOff>
    </xdr:from>
    <xdr:to>
      <xdr:col>17</xdr:col>
      <xdr:colOff>433251</xdr:colOff>
      <xdr:row>43</xdr:row>
      <xdr:rowOff>43542</xdr:rowOff>
    </xdr:to>
    <xdr:graphicFrame macro="">
      <xdr:nvGraphicFramePr>
        <xdr:cNvPr id="7" name="Chart 6">
          <a:extLst>
            <a:ext uri="{FF2B5EF4-FFF2-40B4-BE49-F238E27FC236}">
              <a16:creationId xmlns:a16="http://schemas.microsoft.com/office/drawing/2014/main" id="{B1D2B3BC-E0EE-4ED9-9538-C35272DAD1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18</xdr:col>
      <xdr:colOff>35379</xdr:colOff>
      <xdr:row>28</xdr:row>
      <xdr:rowOff>125866</xdr:rowOff>
    </xdr:from>
    <xdr:to>
      <xdr:col>22</xdr:col>
      <xdr:colOff>161926</xdr:colOff>
      <xdr:row>43</xdr:row>
      <xdr:rowOff>23813</xdr:rowOff>
    </xdr:to>
    <xdr:graphicFrame macro="">
      <xdr:nvGraphicFramePr>
        <xdr:cNvPr id="9" name="Chart 8">
          <a:extLst>
            <a:ext uri="{FF2B5EF4-FFF2-40B4-BE49-F238E27FC236}">
              <a16:creationId xmlns:a16="http://schemas.microsoft.com/office/drawing/2014/main" id="{898559A0-666B-4F03-8158-B710692EA8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13</xdr:col>
      <xdr:colOff>441832</xdr:colOff>
      <xdr:row>13</xdr:row>
      <xdr:rowOff>24406</xdr:rowOff>
    </xdr:from>
    <xdr:to>
      <xdr:col>22</xdr:col>
      <xdr:colOff>224118</xdr:colOff>
      <xdr:row>27</xdr:row>
      <xdr:rowOff>116093</xdr:rowOff>
    </xdr:to>
    <xdr:grpSp>
      <xdr:nvGrpSpPr>
        <xdr:cNvPr id="17" name="Group 16">
          <a:extLst>
            <a:ext uri="{FF2B5EF4-FFF2-40B4-BE49-F238E27FC236}">
              <a16:creationId xmlns:a16="http://schemas.microsoft.com/office/drawing/2014/main" id="{5C718213-10C4-657A-D4F0-A556B002F62F}"/>
            </a:ext>
          </a:extLst>
        </xdr:cNvPr>
        <xdr:cNvGrpSpPr/>
      </xdr:nvGrpSpPr>
      <xdr:grpSpPr>
        <a:xfrm>
          <a:off x="8366632" y="2377081"/>
          <a:ext cx="5268686" cy="2625337"/>
          <a:chOff x="8366632" y="2377081"/>
          <a:chExt cx="5268686" cy="2625337"/>
        </a:xfrm>
      </xdr:grpSpPr>
      <xdr:grpSp>
        <xdr:nvGrpSpPr>
          <xdr:cNvPr id="176" name="Group 175">
            <a:extLst>
              <a:ext uri="{FF2B5EF4-FFF2-40B4-BE49-F238E27FC236}">
                <a16:creationId xmlns:a16="http://schemas.microsoft.com/office/drawing/2014/main" id="{DC1CF758-D63B-6A6D-AFB4-66DA47673A3F}"/>
              </a:ext>
            </a:extLst>
          </xdr:cNvPr>
          <xdr:cNvGrpSpPr/>
        </xdr:nvGrpSpPr>
        <xdr:grpSpPr>
          <a:xfrm>
            <a:off x="8366632" y="2377081"/>
            <a:ext cx="5268686" cy="2625337"/>
            <a:chOff x="8294914" y="1421108"/>
            <a:chExt cx="5268686" cy="2655592"/>
          </a:xfrm>
        </xdr:grpSpPr>
        <xdr:sp macro="" textlink="">
          <xdr:nvSpPr>
            <xdr:cNvPr id="8" name="Rectangle: Rounded Corners 7">
              <a:extLst>
                <a:ext uri="{FF2B5EF4-FFF2-40B4-BE49-F238E27FC236}">
                  <a16:creationId xmlns:a16="http://schemas.microsoft.com/office/drawing/2014/main" id="{1FB1100F-D1F5-4079-8461-00F4B1DE6A9F}"/>
                </a:ext>
              </a:extLst>
            </xdr:cNvPr>
            <xdr:cNvSpPr/>
          </xdr:nvSpPr>
          <xdr:spPr>
            <a:xfrm>
              <a:off x="8294914" y="1421108"/>
              <a:ext cx="5268686" cy="2655592"/>
            </a:xfrm>
            <a:prstGeom prst="roundRect">
              <a:avLst>
                <a:gd name="adj" fmla="val 7394"/>
              </a:avLst>
            </a:prstGeom>
            <a:gradFill>
              <a:gsLst>
                <a:gs pos="0">
                  <a:srgbClr val="323687"/>
                </a:gs>
                <a:gs pos="88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nvGrpSpPr>
            <xdr:cNvPr id="175" name="Group 174">
              <a:extLst>
                <a:ext uri="{FF2B5EF4-FFF2-40B4-BE49-F238E27FC236}">
                  <a16:creationId xmlns:a16="http://schemas.microsoft.com/office/drawing/2014/main" id="{E4144FF7-46FE-20AB-6254-27C8F92CF083}"/>
                </a:ext>
              </a:extLst>
            </xdr:cNvPr>
            <xdr:cNvGrpSpPr/>
          </xdr:nvGrpSpPr>
          <xdr:grpSpPr>
            <a:xfrm>
              <a:off x="8730341" y="1561948"/>
              <a:ext cx="4452259" cy="2244726"/>
              <a:chOff x="8730341" y="1561948"/>
              <a:chExt cx="4452259" cy="2244726"/>
            </a:xfrm>
          </xdr:grpSpPr>
          <xdr:pic>
            <xdr:nvPicPr>
              <xdr:cNvPr id="173" name="Picture 172">
                <a:extLst>
                  <a:ext uri="{FF2B5EF4-FFF2-40B4-BE49-F238E27FC236}">
                    <a16:creationId xmlns:a16="http://schemas.microsoft.com/office/drawing/2014/main" id="{E99B9E27-4EB3-26AF-7438-ABE2D71E7F4C}"/>
                  </a:ext>
                </a:extLst>
              </xdr:cNvPr>
              <xdr:cNvPicPr>
                <a:picLocks noChangeAspect="1"/>
              </xdr:cNvPicPr>
            </xdr:nvPicPr>
            <xdr:blipFill rotWithShape="1">
              <a:blip xmlns:r="http://schemas.openxmlformats.org/officeDocument/2006/relationships" r:embed="rId30">
                <a:alphaModFix amt="35000"/>
                <a:extLst>
                  <a:ext uri="{BEBA8EAE-BF5A-486C-A8C5-ECC9F3942E4B}">
                    <a14:imgProps xmlns:a14="http://schemas.microsoft.com/office/drawing/2010/main">
                      <a14:imgLayer r:embed="rId31">
                        <a14:imgEffect>
                          <a14:saturation sat="660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32"/>
                  </a:ext>
                </a:extLst>
              </a:blip>
              <a:srcRect l="1926" r="1285"/>
              <a:stretch>
                <a:fillRect/>
              </a:stretch>
            </xdr:blipFill>
            <xdr:spPr>
              <a:xfrm>
                <a:off x="8730341" y="1580385"/>
                <a:ext cx="4452259" cy="2226289"/>
              </a:xfrm>
              <a:prstGeom prst="rect">
                <a:avLst/>
              </a:prstGeom>
              <a:scene3d>
                <a:camera prst="orthographicFront"/>
                <a:lightRig rig="threePt" dir="t"/>
              </a:scene3d>
              <a:sp3d>
                <a:bevelT/>
              </a:sp3d>
            </xdr:spPr>
          </xdr:pic>
          <xdr:pic>
            <xdr:nvPicPr>
              <xdr:cNvPr id="174" name="Picture 173">
                <a:extLst>
                  <a:ext uri="{FF2B5EF4-FFF2-40B4-BE49-F238E27FC236}">
                    <a16:creationId xmlns:a16="http://schemas.microsoft.com/office/drawing/2014/main" id="{81798EE6-6B72-661A-D7E0-B914D8A8196D}"/>
                  </a:ext>
                </a:extLst>
              </xdr:cNvPr>
              <xdr:cNvPicPr>
                <a:picLocks noChangeAspect="1"/>
              </xdr:cNvPicPr>
            </xdr:nvPicPr>
            <xdr:blipFill>
              <a:blip xmlns:r="http://schemas.openxmlformats.org/officeDocument/2006/relationships" r:embed="rId33">
                <a:extLst>
                  <a:ext uri="{BEBA8EAE-BF5A-486C-A8C5-ECC9F3942E4B}">
                    <a14:imgProps xmlns:a14="http://schemas.microsoft.com/office/drawing/2010/main">
                      <a14:imgLayer r:embed="rId34">
                        <a14:imgEffect>
                          <a14:saturation sat="400000"/>
                        </a14:imgEffect>
                      </a14:imgLayer>
                    </a14:imgProps>
                  </a:ext>
                </a:extLst>
              </a:blip>
              <a:stretch>
                <a:fillRect/>
              </a:stretch>
            </xdr:blipFill>
            <xdr:spPr>
              <a:xfrm>
                <a:off x="9071067" y="1561948"/>
                <a:ext cx="3657600" cy="2242884"/>
              </a:xfrm>
              <a:prstGeom prst="rect">
                <a:avLst/>
              </a:prstGeom>
              <a:ln w="25400">
                <a:noFill/>
              </a:ln>
            </xdr:spPr>
          </xdr:pic>
        </xdr:grpSp>
      </xdr:grpSp>
      <xdr:sp macro="" textlink="">
        <xdr:nvSpPr>
          <xdr:cNvPr id="13" name="TextBox 12">
            <a:extLst>
              <a:ext uri="{FF2B5EF4-FFF2-40B4-BE49-F238E27FC236}">
                <a16:creationId xmlns:a16="http://schemas.microsoft.com/office/drawing/2014/main" id="{5BE3B09D-B953-427D-B600-27866B55E446}"/>
              </a:ext>
            </a:extLst>
          </xdr:cNvPr>
          <xdr:cNvSpPr txBox="1"/>
        </xdr:nvSpPr>
        <xdr:spPr>
          <a:xfrm>
            <a:off x="9545763" y="3310890"/>
            <a:ext cx="2723878" cy="738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tx1"/>
                </a:solidFill>
              </a:rPr>
              <a:t>L </a:t>
            </a:r>
            <a:r>
              <a:rPr lang="en-US" sz="1600" b="1" baseline="0">
                <a:solidFill>
                  <a:schemeClr val="tx1"/>
                </a:solidFill>
              </a:rPr>
              <a:t>      A       T       V       I       A</a:t>
            </a:r>
            <a:endParaRPr lang="en-US" sz="1600" b="1">
              <a:solidFill>
                <a:schemeClr val="tx1"/>
              </a:solidFill>
            </a:endParaRPr>
          </a:p>
        </xdr:txBody>
      </xdr:sp>
    </xdr:grpSp>
    <xdr:clientData/>
  </xdr:twoCellAnchor>
</xdr:wsDr>
</file>

<file path=xl/drawings/drawing2.xml><?xml version="1.0" encoding="utf-8"?>
<c:userShapes xmlns:c="http://schemas.openxmlformats.org/drawingml/2006/chart">
  <cdr:relSizeAnchor xmlns:cdr="http://schemas.openxmlformats.org/drawingml/2006/chartDrawing">
    <cdr:from>
      <cdr:x>0.24691</cdr:x>
      <cdr:y>0.39947</cdr:y>
    </cdr:from>
    <cdr:to>
      <cdr:x>0.75309</cdr:x>
      <cdr:y>0.5754</cdr:y>
    </cdr:to>
    <cdr:sp macro="" textlink="">
      <cdr:nvSpPr>
        <cdr:cNvPr id="2" name="TextBox 190">
          <a:extLst xmlns:a="http://schemas.openxmlformats.org/drawingml/2006/main">
            <a:ext uri="{FF2B5EF4-FFF2-40B4-BE49-F238E27FC236}">
              <a16:creationId xmlns:a16="http://schemas.microsoft.com/office/drawing/2014/main" id="{1899DE78-3F1B-C3FB-4153-8FE97D9364DF}"/>
            </a:ext>
          </a:extLst>
        </cdr:cNvPr>
        <cdr:cNvSpPr txBox="1"/>
      </cdr:nvSpPr>
      <cdr:spPr>
        <a:xfrm xmlns:a="http://schemas.openxmlformats.org/drawingml/2006/main">
          <a:off x="609600" y="1095830"/>
          <a:ext cx="1249680" cy="4826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600" b="0" baseline="0">
              <a:solidFill>
                <a:schemeClr val="bg1"/>
              </a:solidFill>
            </a:rPr>
            <a:t>Average</a:t>
          </a:r>
          <a:endParaRPr lang="en-US" sz="1600" b="0">
            <a:solidFill>
              <a:schemeClr val="bg1"/>
            </a:solidFill>
          </a:endParaRPr>
        </a:p>
      </cdr:txBody>
    </cdr:sp>
  </cdr:relSizeAnchor>
  <cdr:relSizeAnchor xmlns:cdr="http://schemas.openxmlformats.org/drawingml/2006/chartDrawing">
    <cdr:from>
      <cdr:x>0.2425</cdr:x>
      <cdr:y>0.51455</cdr:y>
    </cdr:from>
    <cdr:to>
      <cdr:x>0.74868</cdr:x>
      <cdr:y>0.69048</cdr:y>
    </cdr:to>
    <cdr:sp macro="" textlink="Processing!$N$28">
      <cdr:nvSpPr>
        <cdr:cNvPr id="3" name="TextBox 190">
          <a:extLst xmlns:a="http://schemas.openxmlformats.org/drawingml/2006/main">
            <a:ext uri="{FF2B5EF4-FFF2-40B4-BE49-F238E27FC236}">
              <a16:creationId xmlns:a16="http://schemas.microsoft.com/office/drawing/2014/main" id="{583C75B2-C0FC-D7B7-1709-ACCC921060FD}"/>
            </a:ext>
          </a:extLst>
        </cdr:cNvPr>
        <cdr:cNvSpPr txBox="1"/>
      </cdr:nvSpPr>
      <cdr:spPr>
        <a:xfrm xmlns:a="http://schemas.openxmlformats.org/drawingml/2006/main">
          <a:off x="598715" y="1411516"/>
          <a:ext cx="1249680" cy="4826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EDD8CAE3-2235-47F2-AA95-C551D86A9CE9}" type="TxLink">
            <a:rPr lang="en-US" sz="3200" b="0" i="0" u="none" strike="noStrike">
              <a:solidFill>
                <a:schemeClr val="bg1"/>
              </a:solidFill>
              <a:latin typeface="Aptos Narrow"/>
            </a:rPr>
            <a:pPr algn="ctr"/>
            <a:t>52%</a:t>
          </a:fld>
          <a:endParaRPr lang="en-US" sz="9600" b="0">
            <a:solidFill>
              <a:schemeClr val="bg1"/>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0.26304</cdr:x>
      <cdr:y>0.38403</cdr:y>
    </cdr:from>
    <cdr:to>
      <cdr:x>0.75026</cdr:x>
      <cdr:y>0.56463</cdr:y>
    </cdr:to>
    <cdr:sp macro="" textlink="">
      <cdr:nvSpPr>
        <cdr:cNvPr id="2" name="TextBox 190">
          <a:extLst xmlns:a="http://schemas.openxmlformats.org/drawingml/2006/main">
            <a:ext uri="{FF2B5EF4-FFF2-40B4-BE49-F238E27FC236}">
              <a16:creationId xmlns:a16="http://schemas.microsoft.com/office/drawing/2014/main" id="{97DB0E96-2DA0-9D17-1307-71126EAF8C0E}"/>
            </a:ext>
          </a:extLst>
        </cdr:cNvPr>
        <cdr:cNvSpPr txBox="1"/>
      </cdr:nvSpPr>
      <cdr:spPr>
        <a:xfrm xmlns:a="http://schemas.openxmlformats.org/drawingml/2006/main">
          <a:off x="674688" y="1003300"/>
          <a:ext cx="1249680" cy="47182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600" b="0">
              <a:solidFill>
                <a:schemeClr val="bg1"/>
              </a:solidFill>
            </a:rPr>
            <a:t>Average</a:t>
          </a:r>
        </a:p>
      </cdr:txBody>
    </cdr:sp>
  </cdr:relSizeAnchor>
  <cdr:relSizeAnchor xmlns:cdr="http://schemas.openxmlformats.org/drawingml/2006/chartDrawing">
    <cdr:from>
      <cdr:x>0.27975</cdr:x>
      <cdr:y>0.50434</cdr:y>
    </cdr:from>
    <cdr:to>
      <cdr:x>0.76697</cdr:x>
      <cdr:y>0.68494</cdr:y>
    </cdr:to>
    <cdr:sp macro="" textlink="Processing!$V$28">
      <cdr:nvSpPr>
        <cdr:cNvPr id="3" name="TextBox 190">
          <a:extLst xmlns:a="http://schemas.openxmlformats.org/drawingml/2006/main">
            <a:ext uri="{FF2B5EF4-FFF2-40B4-BE49-F238E27FC236}">
              <a16:creationId xmlns:a16="http://schemas.microsoft.com/office/drawing/2014/main" id="{EB89ACE0-5CC1-8AE7-8BF4-E4C05B1703B3}"/>
            </a:ext>
          </a:extLst>
        </cdr:cNvPr>
        <cdr:cNvSpPr txBox="1"/>
      </cdr:nvSpPr>
      <cdr:spPr>
        <a:xfrm xmlns:a="http://schemas.openxmlformats.org/drawingml/2006/main">
          <a:off x="717550" y="1317625"/>
          <a:ext cx="1249680" cy="47182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591DA4C3-36B1-4314-AFC0-F0920FBF4817}" type="TxLink">
            <a:rPr lang="en-US" sz="3200" b="0" i="0" u="none" strike="noStrike">
              <a:solidFill>
                <a:schemeClr val="bg1"/>
              </a:solidFill>
              <a:latin typeface="Aptos Narrow"/>
            </a:rPr>
            <a:pPr algn="ctr"/>
            <a:t>31%</a:t>
          </a:fld>
          <a:endParaRPr lang="en-US" sz="41300" b="0">
            <a:solidFill>
              <a:schemeClr val="bg1"/>
            </a:solidFill>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464820</xdr:colOff>
      <xdr:row>1</xdr:row>
      <xdr:rowOff>83820</xdr:rowOff>
    </xdr:from>
    <xdr:to>
      <xdr:col>1</xdr:col>
      <xdr:colOff>495300</xdr:colOff>
      <xdr:row>3</xdr:row>
      <xdr:rowOff>53340</xdr:rowOff>
    </xdr:to>
    <xdr:sp macro="" textlink="">
      <xdr:nvSpPr>
        <xdr:cNvPr id="2" name="Rectangle 1">
          <a:extLst>
            <a:ext uri="{FF2B5EF4-FFF2-40B4-BE49-F238E27FC236}">
              <a16:creationId xmlns:a16="http://schemas.microsoft.com/office/drawing/2014/main" id="{69AA6553-3E56-48CE-8276-EC0C4D193D71}"/>
            </a:ext>
          </a:extLst>
        </xdr:cNvPr>
        <xdr:cNvSpPr/>
      </xdr:nvSpPr>
      <xdr:spPr>
        <a:xfrm>
          <a:off x="464820" y="266700"/>
          <a:ext cx="640080" cy="335280"/>
        </a:xfrm>
        <a:prstGeom prst="rect">
          <a:avLst/>
        </a:prstGeom>
        <a:solidFill>
          <a:srgbClr val="1214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392238</xdr:colOff>
      <xdr:row>0</xdr:row>
      <xdr:rowOff>167640</xdr:rowOff>
    </xdr:from>
    <xdr:to>
      <xdr:col>23</xdr:col>
      <xdr:colOff>156018</xdr:colOff>
      <xdr:row>45</xdr:row>
      <xdr:rowOff>53340</xdr:rowOff>
    </xdr:to>
    <xdr:sp macro="" textlink="">
      <xdr:nvSpPr>
        <xdr:cNvPr id="3" name="Rectangle: Rounded Corners 2">
          <a:extLst>
            <a:ext uri="{FF2B5EF4-FFF2-40B4-BE49-F238E27FC236}">
              <a16:creationId xmlns:a16="http://schemas.microsoft.com/office/drawing/2014/main" id="{A4189654-C27C-4799-8D67-2B7AC2508250}"/>
            </a:ext>
          </a:extLst>
        </xdr:cNvPr>
        <xdr:cNvSpPr/>
      </xdr:nvSpPr>
      <xdr:spPr>
        <a:xfrm>
          <a:off x="392238" y="167640"/>
          <a:ext cx="13784580" cy="8115300"/>
        </a:xfrm>
        <a:prstGeom prst="roundRect">
          <a:avLst>
            <a:gd name="adj" fmla="val 6581"/>
          </a:avLst>
        </a:prstGeom>
        <a:gradFill flip="none" rotWithShape="1">
          <a:gsLst>
            <a:gs pos="0">
              <a:srgbClr val="1F2357"/>
            </a:gs>
            <a:gs pos="75000">
              <a:srgbClr val="10123B"/>
            </a:gs>
          </a:gsLst>
          <a:lin ang="8100000" scaled="1"/>
          <a:tileRect/>
        </a:gradFill>
        <a:ln w="9525">
          <a:gradFill flip="none" rotWithShape="1">
            <a:gsLst>
              <a:gs pos="0">
                <a:srgbClr val="4647A6"/>
              </a:gs>
              <a:gs pos="100000">
                <a:srgbClr val="333787"/>
              </a:gs>
            </a:gsLst>
            <a:lin ang="8100000" scaled="1"/>
            <a:tileRect/>
          </a:grad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ru-RU"/>
            <a:t> </a:t>
          </a:r>
        </a:p>
      </xdr:txBody>
    </xdr:sp>
    <xdr:clientData/>
  </xdr:twoCellAnchor>
  <xdr:twoCellAnchor>
    <xdr:from>
      <xdr:col>1</xdr:col>
      <xdr:colOff>116097</xdr:colOff>
      <xdr:row>2</xdr:row>
      <xdr:rowOff>100664</xdr:rowOff>
    </xdr:from>
    <xdr:to>
      <xdr:col>22</xdr:col>
      <xdr:colOff>458997</xdr:colOff>
      <xdr:row>43</xdr:row>
      <xdr:rowOff>99059</xdr:rowOff>
    </xdr:to>
    <xdr:sp macro="" textlink="">
      <xdr:nvSpPr>
        <xdr:cNvPr id="4" name="Rectangle: Rounded Corners 3">
          <a:extLst>
            <a:ext uri="{FF2B5EF4-FFF2-40B4-BE49-F238E27FC236}">
              <a16:creationId xmlns:a16="http://schemas.microsoft.com/office/drawing/2014/main" id="{75C64199-B74C-4765-9820-C40676826E33}"/>
            </a:ext>
          </a:extLst>
        </xdr:cNvPr>
        <xdr:cNvSpPr/>
      </xdr:nvSpPr>
      <xdr:spPr>
        <a:xfrm>
          <a:off x="725697" y="462614"/>
          <a:ext cx="13144500" cy="7418370"/>
        </a:xfrm>
        <a:prstGeom prst="roundRect">
          <a:avLst>
            <a:gd name="adj" fmla="val 5042"/>
          </a:avLst>
        </a:prstGeom>
        <a:gradFill flip="none" rotWithShape="1">
          <a:gsLst>
            <a:gs pos="0">
              <a:srgbClr val="20245A"/>
            </a:gs>
            <a:gs pos="75000">
              <a:srgbClr val="10123B"/>
            </a:gs>
          </a:gsLst>
          <a:lin ang="8100000" scaled="1"/>
          <a:tileRect/>
        </a:gradFill>
        <a:ln w="9525">
          <a:gradFill flip="none" rotWithShape="1">
            <a:gsLst>
              <a:gs pos="0">
                <a:srgbClr val="B9C1FF"/>
              </a:gs>
              <a:gs pos="33000">
                <a:srgbClr val="3D4098"/>
              </a:gs>
              <a:gs pos="100000">
                <a:srgbClr val="333787"/>
              </a:gs>
            </a:gsLst>
            <a:lin ang="9000000" scaled="0"/>
            <a:tileRect/>
          </a:gradFill>
        </a:ln>
        <a:effectLst>
          <a:outerShdw blurRad="2540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99060</xdr:colOff>
      <xdr:row>4</xdr:row>
      <xdr:rowOff>23019</xdr:rowOff>
    </xdr:from>
    <xdr:to>
      <xdr:col>22</xdr:col>
      <xdr:colOff>183490</xdr:colOff>
      <xdr:row>11</xdr:row>
      <xdr:rowOff>125506</xdr:rowOff>
    </xdr:to>
    <xdr:sp macro="" textlink="">
      <xdr:nvSpPr>
        <xdr:cNvPr id="5" name="Rectangle: Rounded Corners 4">
          <a:extLst>
            <a:ext uri="{FF2B5EF4-FFF2-40B4-BE49-F238E27FC236}">
              <a16:creationId xmlns:a16="http://schemas.microsoft.com/office/drawing/2014/main" id="{78DCC914-AE78-42E3-883C-1D37265520D6}"/>
            </a:ext>
          </a:extLst>
        </xdr:cNvPr>
        <xdr:cNvSpPr/>
      </xdr:nvSpPr>
      <xdr:spPr>
        <a:xfrm>
          <a:off x="2537460" y="754539"/>
          <a:ext cx="11057230" cy="1382647"/>
        </a:xfrm>
        <a:prstGeom prst="roundRect">
          <a:avLst>
            <a:gd name="adj" fmla="val 14979"/>
          </a:avLst>
        </a:prstGeom>
        <a:gradFill>
          <a:gsLst>
            <a:gs pos="97000">
              <a:srgbClr val="2C3076"/>
            </a:gs>
            <a:gs pos="5000">
              <a:srgbClr val="2C3076"/>
            </a:gs>
            <a:gs pos="0">
              <a:srgbClr val="323687"/>
            </a:gs>
            <a:gs pos="100000">
              <a:srgbClr val="22255C"/>
            </a:gs>
          </a:gsLst>
          <a:lin ang="108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435597</xdr:colOff>
      <xdr:row>7</xdr:row>
      <xdr:rowOff>161730</xdr:rowOff>
    </xdr:from>
    <xdr:to>
      <xdr:col>3</xdr:col>
      <xdr:colOff>498058</xdr:colOff>
      <xdr:row>42</xdr:row>
      <xdr:rowOff>38100</xdr:rowOff>
    </xdr:to>
    <xdr:sp macro="" textlink="">
      <xdr:nvSpPr>
        <xdr:cNvPr id="9" name="Rectangle: Rounded Corners 8">
          <a:extLst>
            <a:ext uri="{FF2B5EF4-FFF2-40B4-BE49-F238E27FC236}">
              <a16:creationId xmlns:a16="http://schemas.microsoft.com/office/drawing/2014/main" id="{16A6523F-EC6F-4526-A3C8-07CD69B448E2}"/>
            </a:ext>
          </a:extLst>
        </xdr:cNvPr>
        <xdr:cNvSpPr/>
      </xdr:nvSpPr>
      <xdr:spPr>
        <a:xfrm>
          <a:off x="1045197" y="1441890"/>
          <a:ext cx="1281661" cy="6277170"/>
        </a:xfrm>
        <a:prstGeom prst="roundRect">
          <a:avLst>
            <a:gd name="adj" fmla="val 18817"/>
          </a:avLst>
        </a:prstGeom>
        <a:gradFill>
          <a:gsLst>
            <a:gs pos="0">
              <a:srgbClr val="2E317C"/>
            </a:gs>
            <a:gs pos="23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500140</xdr:colOff>
      <xdr:row>8</xdr:row>
      <xdr:rowOff>90747</xdr:rowOff>
    </xdr:from>
    <xdr:to>
      <xdr:col>3</xdr:col>
      <xdr:colOff>405804</xdr:colOff>
      <xdr:row>12</xdr:row>
      <xdr:rowOff>1621</xdr:rowOff>
    </xdr:to>
    <xdr:grpSp>
      <xdr:nvGrpSpPr>
        <xdr:cNvPr id="10" name="Group 9">
          <a:hlinkClick xmlns:r="http://schemas.openxmlformats.org/officeDocument/2006/relationships" r:id="rId1"/>
          <a:extLst>
            <a:ext uri="{FF2B5EF4-FFF2-40B4-BE49-F238E27FC236}">
              <a16:creationId xmlns:a16="http://schemas.microsoft.com/office/drawing/2014/main" id="{46D8F39C-C703-4874-A016-5721306C5CFB}"/>
            </a:ext>
          </a:extLst>
        </xdr:cNvPr>
        <xdr:cNvGrpSpPr/>
      </xdr:nvGrpSpPr>
      <xdr:grpSpPr>
        <a:xfrm>
          <a:off x="1109740" y="1538547"/>
          <a:ext cx="1124864" cy="634774"/>
          <a:chOff x="1109740" y="1553787"/>
          <a:chExt cx="1124864" cy="642394"/>
        </a:xfrm>
      </xdr:grpSpPr>
      <xdr:pic>
        <xdr:nvPicPr>
          <xdr:cNvPr id="11" name="Graphic 10" descr="Home with solid fill">
            <a:extLst>
              <a:ext uri="{FF2B5EF4-FFF2-40B4-BE49-F238E27FC236}">
                <a16:creationId xmlns:a16="http://schemas.microsoft.com/office/drawing/2014/main" id="{0FD67AD8-2FE6-5D0C-3BA8-BE570533AF5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56113" y="1553787"/>
            <a:ext cx="426720" cy="426720"/>
          </a:xfrm>
          <a:prstGeom prst="rect">
            <a:avLst/>
          </a:prstGeom>
          <a:effectLst/>
        </xdr:spPr>
      </xdr:pic>
      <xdr:sp macro="" textlink="#REF!">
        <xdr:nvSpPr>
          <xdr:cNvPr id="12" name="TextBox 11">
            <a:extLst>
              <a:ext uri="{FF2B5EF4-FFF2-40B4-BE49-F238E27FC236}">
                <a16:creationId xmlns:a16="http://schemas.microsoft.com/office/drawing/2014/main" id="{5B707969-85FB-3F60-0494-4CE6A8F17AB2}"/>
              </a:ext>
            </a:extLst>
          </xdr:cNvPr>
          <xdr:cNvSpPr txBox="1"/>
        </xdr:nvSpPr>
        <xdr:spPr>
          <a:xfrm>
            <a:off x="1109740" y="1935244"/>
            <a:ext cx="1124864" cy="260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3D42D12-6D1C-4BD6-BF7A-FB3615575702}" type="TxLink">
              <a:rPr lang="en-US" sz="1400" b="0" i="0" u="none" strike="noStrike">
                <a:solidFill>
                  <a:srgbClr val="6372A4"/>
                </a:solidFill>
                <a:latin typeface="Aptos Narrow"/>
                <a:ea typeface="+mn-ea"/>
                <a:cs typeface="+mn-cs"/>
              </a:rPr>
              <a:pPr marL="0" indent="0" algn="ctr"/>
              <a:t>Dashboard</a:t>
            </a:fld>
            <a:endParaRPr lang="ru-RU" sz="1400" b="0" i="0" u="none" strike="noStrike">
              <a:solidFill>
                <a:srgbClr val="6372A4"/>
              </a:solidFill>
              <a:latin typeface="Aptos Narrow"/>
              <a:ea typeface="+mn-ea"/>
              <a:cs typeface="+mn-cs"/>
            </a:endParaRPr>
          </a:p>
        </xdr:txBody>
      </xdr:sp>
    </xdr:grpSp>
    <xdr:clientData/>
  </xdr:twoCellAnchor>
  <xdr:twoCellAnchor>
    <xdr:from>
      <xdr:col>14</xdr:col>
      <xdr:colOff>604780</xdr:colOff>
      <xdr:row>13</xdr:row>
      <xdr:rowOff>7620</xdr:rowOff>
    </xdr:from>
    <xdr:to>
      <xdr:col>16</xdr:col>
      <xdr:colOff>363532</xdr:colOff>
      <xdr:row>14</xdr:row>
      <xdr:rowOff>82906</xdr:rowOff>
    </xdr:to>
    <xdr:sp macro="" textlink="$C$60">
      <xdr:nvSpPr>
        <xdr:cNvPr id="13" name="TextBox 12">
          <a:extLst>
            <a:ext uri="{FF2B5EF4-FFF2-40B4-BE49-F238E27FC236}">
              <a16:creationId xmlns:a16="http://schemas.microsoft.com/office/drawing/2014/main" id="{7936AF7B-4964-4492-A295-41ABBC31B52D}"/>
            </a:ext>
          </a:extLst>
        </xdr:cNvPr>
        <xdr:cNvSpPr txBox="1"/>
      </xdr:nvSpPr>
      <xdr:spPr>
        <a:xfrm>
          <a:off x="9139180" y="2385060"/>
          <a:ext cx="977952"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A33B9D-F834-4294-BE87-29F6752F0B43}" type="TxLink">
            <a:rPr lang="en-US" sz="1200" b="0" i="0" u="none" strike="noStrike">
              <a:solidFill>
                <a:schemeClr val="tx2">
                  <a:lumMod val="25000"/>
                  <a:lumOff val="75000"/>
                </a:schemeClr>
              </a:solidFill>
              <a:latin typeface="Aptos Narrow"/>
            </a:rPr>
            <a:pPr algn="ctr"/>
            <a:t> </a:t>
          </a:fld>
          <a:endParaRPr lang="ru-RU" sz="1600" b="0">
            <a:solidFill>
              <a:schemeClr val="tx2">
                <a:lumMod val="25000"/>
                <a:lumOff val="75000"/>
              </a:schemeClr>
            </a:solidFill>
          </a:endParaRPr>
        </a:p>
      </xdr:txBody>
    </xdr:sp>
    <xdr:clientData/>
  </xdr:twoCellAnchor>
  <xdr:twoCellAnchor>
    <xdr:from>
      <xdr:col>14</xdr:col>
      <xdr:colOff>604780</xdr:colOff>
      <xdr:row>14</xdr:row>
      <xdr:rowOff>63292</xdr:rowOff>
    </xdr:from>
    <xdr:to>
      <xdr:col>16</xdr:col>
      <xdr:colOff>363532</xdr:colOff>
      <xdr:row>15</xdr:row>
      <xdr:rowOff>164395</xdr:rowOff>
    </xdr:to>
    <xdr:sp macro="" textlink="$D$55">
      <xdr:nvSpPr>
        <xdr:cNvPr id="14" name="TextBox 13">
          <a:extLst>
            <a:ext uri="{FF2B5EF4-FFF2-40B4-BE49-F238E27FC236}">
              <a16:creationId xmlns:a16="http://schemas.microsoft.com/office/drawing/2014/main" id="{78EBFA4B-04F7-46CD-B45B-A645A16A923B}"/>
            </a:ext>
          </a:extLst>
        </xdr:cNvPr>
        <xdr:cNvSpPr txBox="1"/>
      </xdr:nvSpPr>
      <xdr:spPr>
        <a:xfrm>
          <a:off x="9139180" y="2623612"/>
          <a:ext cx="977952" cy="28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C2A362-1984-4E0F-B2F1-1722CB1B7A1B}" type="TxLink">
            <a:rPr lang="en-US" sz="2400" b="0" i="0" u="none" strike="noStrike">
              <a:solidFill>
                <a:schemeClr val="bg1"/>
              </a:solidFill>
              <a:latin typeface="Aptos Narrow"/>
            </a:rPr>
            <a:pPr algn="ctr"/>
            <a:t> </a:t>
          </a:fld>
          <a:endParaRPr lang="ru-RU" sz="2400" b="0">
            <a:solidFill>
              <a:schemeClr val="bg1"/>
            </a:solidFill>
          </a:endParaRPr>
        </a:p>
      </xdr:txBody>
    </xdr:sp>
    <xdr:clientData/>
  </xdr:twoCellAnchor>
  <xdr:twoCellAnchor>
    <xdr:from>
      <xdr:col>7</xdr:col>
      <xdr:colOff>332740</xdr:colOff>
      <xdr:row>20</xdr:row>
      <xdr:rowOff>124968</xdr:rowOff>
    </xdr:from>
    <xdr:to>
      <xdr:col>13</xdr:col>
      <xdr:colOff>434341</xdr:colOff>
      <xdr:row>34</xdr:row>
      <xdr:rowOff>45720</xdr:rowOff>
    </xdr:to>
    <xdr:graphicFrame macro="">
      <xdr:nvGraphicFramePr>
        <xdr:cNvPr id="15" name="Chart 14" hidden="1">
          <a:extLst>
            <a:ext uri="{FF2B5EF4-FFF2-40B4-BE49-F238E27FC236}">
              <a16:creationId xmlns:a16="http://schemas.microsoft.com/office/drawing/2014/main" id="{0CDC3704-6DCE-4BC0-89D8-77824AB42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392614</xdr:colOff>
      <xdr:row>25</xdr:row>
      <xdr:rowOff>63955</xdr:rowOff>
    </xdr:from>
    <xdr:to>
      <xdr:col>15</xdr:col>
      <xdr:colOff>404806</xdr:colOff>
      <xdr:row>29</xdr:row>
      <xdr:rowOff>127963</xdr:rowOff>
    </xdr:to>
    <xdr:sp macro="" textlink="$D$76">
      <xdr:nvSpPr>
        <xdr:cNvPr id="16" name="TextBox 15">
          <a:extLst>
            <a:ext uri="{FF2B5EF4-FFF2-40B4-BE49-F238E27FC236}">
              <a16:creationId xmlns:a16="http://schemas.microsoft.com/office/drawing/2014/main" id="{1FEE850A-F332-4F2E-BD62-740F7C75C327}"/>
            </a:ext>
          </a:extLst>
        </xdr:cNvPr>
        <xdr:cNvSpPr txBox="1"/>
      </xdr:nvSpPr>
      <xdr:spPr>
        <a:xfrm>
          <a:off x="8927014" y="4635955"/>
          <a:ext cx="621792" cy="795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1AC67DD-5614-4ED2-B1AD-9682E26BEFA2}" type="TxLink">
            <a:rPr lang="en-US" sz="800" b="0" i="0" u="none" strike="noStrike">
              <a:solidFill>
                <a:schemeClr val="tx2">
                  <a:lumMod val="25000"/>
                  <a:lumOff val="75000"/>
                </a:schemeClr>
              </a:solidFill>
              <a:latin typeface="Aptos Narrow"/>
            </a:rPr>
            <a:pPr algn="l"/>
            <a:t> </a:t>
          </a:fld>
          <a:endParaRPr lang="ru-RU" sz="800" b="0">
            <a:solidFill>
              <a:schemeClr val="tx2">
                <a:lumMod val="25000"/>
                <a:lumOff val="75000"/>
              </a:schemeClr>
            </a:solidFill>
          </a:endParaRPr>
        </a:p>
      </xdr:txBody>
    </xdr:sp>
    <xdr:clientData/>
  </xdr:twoCellAnchor>
  <xdr:twoCellAnchor>
    <xdr:from>
      <xdr:col>19</xdr:col>
      <xdr:colOff>34668</xdr:colOff>
      <xdr:row>22</xdr:row>
      <xdr:rowOff>147769</xdr:rowOff>
    </xdr:from>
    <xdr:to>
      <xdr:col>20</xdr:col>
      <xdr:colOff>447672</xdr:colOff>
      <xdr:row>24</xdr:row>
      <xdr:rowOff>40175</xdr:rowOff>
    </xdr:to>
    <xdr:sp macro="" textlink="$A$53">
      <xdr:nvSpPr>
        <xdr:cNvPr id="17" name="TextBox 16">
          <a:extLst>
            <a:ext uri="{FF2B5EF4-FFF2-40B4-BE49-F238E27FC236}">
              <a16:creationId xmlns:a16="http://schemas.microsoft.com/office/drawing/2014/main" id="{C9B64CA0-0C3C-42D2-809B-64E6A8079B24}"/>
            </a:ext>
          </a:extLst>
        </xdr:cNvPr>
        <xdr:cNvSpPr txBox="1"/>
      </xdr:nvSpPr>
      <xdr:spPr>
        <a:xfrm>
          <a:off x="11617068" y="4171129"/>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1732DB7-45E1-47AD-8A64-12C1477C1F51}" type="TxLink">
            <a:rPr lang="en-US" sz="1400" b="0" i="0" u="none" strike="noStrike">
              <a:solidFill>
                <a:schemeClr val="tx2">
                  <a:lumMod val="25000"/>
                  <a:lumOff val="75000"/>
                </a:schemeClr>
              </a:solidFill>
              <a:latin typeface="Aptos Narrow"/>
            </a:rPr>
            <a:pPr algn="l"/>
            <a:t> </a:t>
          </a:fld>
          <a:endParaRPr lang="ru-RU" sz="2000">
            <a:solidFill>
              <a:schemeClr val="tx2">
                <a:lumMod val="25000"/>
                <a:lumOff val="75000"/>
              </a:schemeClr>
            </a:solidFill>
          </a:endParaRPr>
        </a:p>
      </xdr:txBody>
    </xdr:sp>
    <xdr:clientData/>
  </xdr:twoCellAnchor>
  <xdr:twoCellAnchor>
    <xdr:from>
      <xdr:col>19</xdr:col>
      <xdr:colOff>34668</xdr:colOff>
      <xdr:row>25</xdr:row>
      <xdr:rowOff>48666</xdr:rowOff>
    </xdr:from>
    <xdr:to>
      <xdr:col>20</xdr:col>
      <xdr:colOff>447672</xdr:colOff>
      <xdr:row>26</xdr:row>
      <xdr:rowOff>123952</xdr:rowOff>
    </xdr:to>
    <xdr:sp macro="" textlink="$A$54">
      <xdr:nvSpPr>
        <xdr:cNvPr id="18" name="TextBox 17">
          <a:extLst>
            <a:ext uri="{FF2B5EF4-FFF2-40B4-BE49-F238E27FC236}">
              <a16:creationId xmlns:a16="http://schemas.microsoft.com/office/drawing/2014/main" id="{E6061DD7-1301-4664-B584-A93852B585F0}"/>
            </a:ext>
          </a:extLst>
        </xdr:cNvPr>
        <xdr:cNvSpPr txBox="1"/>
      </xdr:nvSpPr>
      <xdr:spPr>
        <a:xfrm>
          <a:off x="11617068" y="4620666"/>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4132016-B00B-4926-87EE-A0F664231BBC}" type="TxLink">
            <a:rPr lang="en-US" sz="1400" b="0" i="0" u="none" strike="noStrike">
              <a:solidFill>
                <a:schemeClr val="tx2">
                  <a:lumMod val="25000"/>
                  <a:lumOff val="75000"/>
                </a:schemeClr>
              </a:solidFill>
              <a:latin typeface="Aptos Narrow"/>
            </a:rPr>
            <a:pPr algn="l"/>
            <a:t> </a:t>
          </a:fld>
          <a:endParaRPr lang="ru-RU" sz="1600">
            <a:solidFill>
              <a:schemeClr val="tx2">
                <a:lumMod val="25000"/>
                <a:lumOff val="75000"/>
              </a:schemeClr>
            </a:solidFill>
          </a:endParaRPr>
        </a:p>
      </xdr:txBody>
    </xdr:sp>
    <xdr:clientData/>
  </xdr:twoCellAnchor>
  <xdr:twoCellAnchor>
    <xdr:from>
      <xdr:col>19</xdr:col>
      <xdr:colOff>34668</xdr:colOff>
      <xdr:row>27</xdr:row>
      <xdr:rowOff>132443</xdr:rowOff>
    </xdr:from>
    <xdr:to>
      <xdr:col>20</xdr:col>
      <xdr:colOff>447672</xdr:colOff>
      <xdr:row>29</xdr:row>
      <xdr:rowOff>24849</xdr:rowOff>
    </xdr:to>
    <xdr:sp macro="" textlink="$A$55">
      <xdr:nvSpPr>
        <xdr:cNvPr id="19" name="TextBox 18">
          <a:extLst>
            <a:ext uri="{FF2B5EF4-FFF2-40B4-BE49-F238E27FC236}">
              <a16:creationId xmlns:a16="http://schemas.microsoft.com/office/drawing/2014/main" id="{743AAC41-66EF-43C7-A2CC-350233C7A4E6}"/>
            </a:ext>
          </a:extLst>
        </xdr:cNvPr>
        <xdr:cNvSpPr txBox="1"/>
      </xdr:nvSpPr>
      <xdr:spPr>
        <a:xfrm>
          <a:off x="11617068" y="5070203"/>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800EC6F-4F9A-4655-982C-0D43CE89D16F}" type="TxLink">
            <a:rPr lang="en-US" sz="1400" b="0" i="0" u="none" strike="noStrike">
              <a:solidFill>
                <a:schemeClr val="tx2">
                  <a:lumMod val="25000"/>
                  <a:lumOff val="75000"/>
                </a:schemeClr>
              </a:solidFill>
              <a:latin typeface="Aptos Narrow"/>
            </a:rPr>
            <a:pPr algn="l"/>
            <a:t> </a:t>
          </a:fld>
          <a:endParaRPr lang="ru-RU" sz="2000">
            <a:solidFill>
              <a:schemeClr val="tx2">
                <a:lumMod val="25000"/>
                <a:lumOff val="75000"/>
              </a:schemeClr>
            </a:solidFill>
          </a:endParaRPr>
        </a:p>
      </xdr:txBody>
    </xdr:sp>
    <xdr:clientData/>
  </xdr:twoCellAnchor>
  <xdr:twoCellAnchor>
    <xdr:from>
      <xdr:col>19</xdr:col>
      <xdr:colOff>34668</xdr:colOff>
      <xdr:row>30</xdr:row>
      <xdr:rowOff>33340</xdr:rowOff>
    </xdr:from>
    <xdr:to>
      <xdr:col>20</xdr:col>
      <xdr:colOff>447672</xdr:colOff>
      <xdr:row>31</xdr:row>
      <xdr:rowOff>108626</xdr:rowOff>
    </xdr:to>
    <xdr:sp macro="" textlink="$A$56">
      <xdr:nvSpPr>
        <xdr:cNvPr id="20" name="TextBox 19">
          <a:extLst>
            <a:ext uri="{FF2B5EF4-FFF2-40B4-BE49-F238E27FC236}">
              <a16:creationId xmlns:a16="http://schemas.microsoft.com/office/drawing/2014/main" id="{CC3912CF-9AF3-43AF-AF30-18504D214415}"/>
            </a:ext>
          </a:extLst>
        </xdr:cNvPr>
        <xdr:cNvSpPr txBox="1"/>
      </xdr:nvSpPr>
      <xdr:spPr>
        <a:xfrm>
          <a:off x="11617068" y="5519740"/>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8C18B09-F15C-49A8-BDC9-19B94F66EBF7}" type="TxLink">
            <a:rPr lang="en-US" sz="1400" b="0" i="0" u="none" strike="noStrike">
              <a:solidFill>
                <a:schemeClr val="tx2">
                  <a:lumMod val="25000"/>
                  <a:lumOff val="75000"/>
                </a:schemeClr>
              </a:solidFill>
              <a:latin typeface="Aptos Narrow"/>
              <a:ea typeface="+mn-ea"/>
              <a:cs typeface="+mn-cs"/>
            </a:rPr>
            <a:pPr marL="0" indent="0" algn="l"/>
            <a:t> </a:t>
          </a:fld>
          <a:endParaRPr lang="ru-RU" sz="1400" b="0" i="0" u="none" strike="noStrike">
            <a:solidFill>
              <a:schemeClr val="tx2">
                <a:lumMod val="25000"/>
                <a:lumOff val="75000"/>
              </a:schemeClr>
            </a:solidFill>
            <a:latin typeface="Aptos Narrow"/>
            <a:ea typeface="+mn-ea"/>
            <a:cs typeface="+mn-cs"/>
          </a:endParaRPr>
        </a:p>
      </xdr:txBody>
    </xdr:sp>
    <xdr:clientData/>
  </xdr:twoCellAnchor>
  <xdr:twoCellAnchor>
    <xdr:from>
      <xdr:col>20</xdr:col>
      <xdr:colOff>263268</xdr:colOff>
      <xdr:row>22</xdr:row>
      <xdr:rowOff>147769</xdr:rowOff>
    </xdr:from>
    <xdr:to>
      <xdr:col>22</xdr:col>
      <xdr:colOff>66672</xdr:colOff>
      <xdr:row>24</xdr:row>
      <xdr:rowOff>40175</xdr:rowOff>
    </xdr:to>
    <xdr:sp macro="" textlink="$B$53">
      <xdr:nvSpPr>
        <xdr:cNvPr id="21" name="TextBox 20">
          <a:extLst>
            <a:ext uri="{FF2B5EF4-FFF2-40B4-BE49-F238E27FC236}">
              <a16:creationId xmlns:a16="http://schemas.microsoft.com/office/drawing/2014/main" id="{592DF764-0882-45C3-A20A-9F8E1DF9705E}"/>
            </a:ext>
          </a:extLst>
        </xdr:cNvPr>
        <xdr:cNvSpPr txBox="1"/>
      </xdr:nvSpPr>
      <xdr:spPr>
        <a:xfrm>
          <a:off x="12455268" y="4171129"/>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E47465B1-4BE7-4C23-8B11-42192BF425CF}" type="TxLink">
            <a:rPr lang="en-US" sz="1400" b="0" i="0" u="none" strike="noStrike">
              <a:solidFill>
                <a:schemeClr val="tx2">
                  <a:lumMod val="25000"/>
                  <a:lumOff val="75000"/>
                </a:schemeClr>
              </a:solidFill>
              <a:latin typeface="Aptos Narrow"/>
            </a:rPr>
            <a:pPr algn="r"/>
            <a:t> </a:t>
          </a:fld>
          <a:endParaRPr lang="ru-RU" sz="2800">
            <a:solidFill>
              <a:schemeClr val="tx2">
                <a:lumMod val="25000"/>
                <a:lumOff val="75000"/>
              </a:schemeClr>
            </a:solidFill>
          </a:endParaRPr>
        </a:p>
      </xdr:txBody>
    </xdr:sp>
    <xdr:clientData/>
  </xdr:twoCellAnchor>
  <xdr:twoCellAnchor>
    <xdr:from>
      <xdr:col>20</xdr:col>
      <xdr:colOff>263268</xdr:colOff>
      <xdr:row>25</xdr:row>
      <xdr:rowOff>48666</xdr:rowOff>
    </xdr:from>
    <xdr:to>
      <xdr:col>22</xdr:col>
      <xdr:colOff>66672</xdr:colOff>
      <xdr:row>26</xdr:row>
      <xdr:rowOff>123952</xdr:rowOff>
    </xdr:to>
    <xdr:sp macro="" textlink="$B$54">
      <xdr:nvSpPr>
        <xdr:cNvPr id="22" name="TextBox 21">
          <a:extLst>
            <a:ext uri="{FF2B5EF4-FFF2-40B4-BE49-F238E27FC236}">
              <a16:creationId xmlns:a16="http://schemas.microsoft.com/office/drawing/2014/main" id="{F5688E3B-730E-4A34-82A5-0E32FB897CF7}"/>
            </a:ext>
          </a:extLst>
        </xdr:cNvPr>
        <xdr:cNvSpPr txBox="1"/>
      </xdr:nvSpPr>
      <xdr:spPr>
        <a:xfrm>
          <a:off x="12455268" y="4620666"/>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3204228-334F-480A-BAD4-3079A2B6170F}" type="TxLink">
            <a:rPr lang="en-US" sz="1400" b="0" i="0" u="none" strike="noStrike">
              <a:solidFill>
                <a:schemeClr val="tx2">
                  <a:lumMod val="25000"/>
                  <a:lumOff val="75000"/>
                </a:schemeClr>
              </a:solidFill>
              <a:latin typeface="Aptos Narrow"/>
            </a:rPr>
            <a:pPr algn="r"/>
            <a:t> </a:t>
          </a:fld>
          <a:endParaRPr lang="ru-RU" sz="2000">
            <a:solidFill>
              <a:schemeClr val="tx2">
                <a:lumMod val="25000"/>
                <a:lumOff val="75000"/>
              </a:schemeClr>
            </a:solidFill>
          </a:endParaRPr>
        </a:p>
      </xdr:txBody>
    </xdr:sp>
    <xdr:clientData/>
  </xdr:twoCellAnchor>
  <xdr:twoCellAnchor>
    <xdr:from>
      <xdr:col>20</xdr:col>
      <xdr:colOff>328582</xdr:colOff>
      <xdr:row>32</xdr:row>
      <xdr:rowOff>109539</xdr:rowOff>
    </xdr:from>
    <xdr:to>
      <xdr:col>22</xdr:col>
      <xdr:colOff>131986</xdr:colOff>
      <xdr:row>33</xdr:row>
      <xdr:rowOff>184825</xdr:rowOff>
    </xdr:to>
    <xdr:sp macro="" textlink="$B$56">
      <xdr:nvSpPr>
        <xdr:cNvPr id="24" name="TextBox 23">
          <a:extLst>
            <a:ext uri="{FF2B5EF4-FFF2-40B4-BE49-F238E27FC236}">
              <a16:creationId xmlns:a16="http://schemas.microsoft.com/office/drawing/2014/main" id="{CE859192-D3F8-4028-9824-12F3C7EDF193}"/>
            </a:ext>
          </a:extLst>
        </xdr:cNvPr>
        <xdr:cNvSpPr txBox="1"/>
      </xdr:nvSpPr>
      <xdr:spPr>
        <a:xfrm>
          <a:off x="12520582" y="5961699"/>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8F9D2ED-7794-4CAD-A140-112658E75D64}" type="TxLink">
            <a:rPr lang="en-US" sz="1400" b="0" i="0" u="none" strike="noStrike">
              <a:solidFill>
                <a:schemeClr val="tx2">
                  <a:lumMod val="25000"/>
                  <a:lumOff val="75000"/>
                </a:schemeClr>
              </a:solidFill>
              <a:latin typeface="Aptos Narrow"/>
              <a:ea typeface="+mn-ea"/>
              <a:cs typeface="+mn-cs"/>
            </a:rPr>
            <a:pPr marL="0" indent="0" algn="r"/>
            <a:t>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20</xdr:col>
      <xdr:colOff>263268</xdr:colOff>
      <xdr:row>32</xdr:row>
      <xdr:rowOff>117117</xdr:rowOff>
    </xdr:from>
    <xdr:to>
      <xdr:col>22</xdr:col>
      <xdr:colOff>66672</xdr:colOff>
      <xdr:row>34</xdr:row>
      <xdr:rowOff>9523</xdr:rowOff>
    </xdr:to>
    <xdr:sp macro="" textlink="$B$57">
      <xdr:nvSpPr>
        <xdr:cNvPr id="25" name="TextBox 24">
          <a:extLst>
            <a:ext uri="{FF2B5EF4-FFF2-40B4-BE49-F238E27FC236}">
              <a16:creationId xmlns:a16="http://schemas.microsoft.com/office/drawing/2014/main" id="{33649994-E837-4100-B52A-D81107789D99}"/>
            </a:ext>
          </a:extLst>
        </xdr:cNvPr>
        <xdr:cNvSpPr txBox="1"/>
      </xdr:nvSpPr>
      <xdr:spPr>
        <a:xfrm>
          <a:off x="12455268" y="596927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34374E5-FE8C-4C24-ABA4-7352FE20634F}" type="TxLink">
            <a:rPr lang="en-US" sz="1400" b="0" i="0" u="none" strike="noStrike">
              <a:solidFill>
                <a:schemeClr val="tx2">
                  <a:lumMod val="25000"/>
                  <a:lumOff val="75000"/>
                </a:schemeClr>
              </a:solidFill>
              <a:latin typeface="Aptos Narrow"/>
              <a:ea typeface="+mn-ea"/>
              <a:cs typeface="+mn-cs"/>
            </a:rPr>
            <a:pPr marL="0" indent="0" algn="r"/>
            <a:t>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2</xdr:col>
      <xdr:colOff>251460</xdr:colOff>
      <xdr:row>3</xdr:row>
      <xdr:rowOff>175260</xdr:rowOff>
    </xdr:from>
    <xdr:to>
      <xdr:col>4</xdr:col>
      <xdr:colOff>10212</xdr:colOff>
      <xdr:row>6</xdr:row>
      <xdr:rowOff>137160</xdr:rowOff>
    </xdr:to>
    <xdr:sp macro="" textlink="#REF!">
      <xdr:nvSpPr>
        <xdr:cNvPr id="26" name="TextBox 25">
          <a:extLst>
            <a:ext uri="{FF2B5EF4-FFF2-40B4-BE49-F238E27FC236}">
              <a16:creationId xmlns:a16="http://schemas.microsoft.com/office/drawing/2014/main" id="{174D53C6-1444-45CF-A274-ED6BB53D0E63}"/>
            </a:ext>
          </a:extLst>
        </xdr:cNvPr>
        <xdr:cNvSpPr txBox="1"/>
      </xdr:nvSpPr>
      <xdr:spPr>
        <a:xfrm>
          <a:off x="1470660" y="723900"/>
          <a:ext cx="977952" cy="510540"/>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chemeClr val="tx2">
                  <a:lumMod val="10000"/>
                  <a:lumOff val="90000"/>
                </a:schemeClr>
              </a:solidFill>
              <a:latin typeface="Aptos Narrow"/>
              <a:ea typeface="+mn-ea"/>
              <a:cs typeface="+mn-cs"/>
            </a:rPr>
            <a:t>Macro Economics</a:t>
          </a:r>
          <a:endParaRPr lang="ru-RU" sz="1200" b="0" i="0" u="none" strike="noStrike">
            <a:solidFill>
              <a:schemeClr val="tx2">
                <a:lumMod val="10000"/>
                <a:lumOff val="90000"/>
              </a:schemeClr>
            </a:solidFill>
            <a:latin typeface="Aptos Narrow"/>
            <a:ea typeface="+mn-ea"/>
            <a:cs typeface="+mn-cs"/>
          </a:endParaRPr>
        </a:p>
      </xdr:txBody>
    </xdr:sp>
    <xdr:clientData/>
  </xdr:twoCellAnchor>
  <xdr:twoCellAnchor>
    <xdr:from>
      <xdr:col>2</xdr:col>
      <xdr:colOff>266700</xdr:colOff>
      <xdr:row>4</xdr:row>
      <xdr:rowOff>64770</xdr:rowOff>
    </xdr:from>
    <xdr:to>
      <xdr:col>2</xdr:col>
      <xdr:colOff>266700</xdr:colOff>
      <xdr:row>6</xdr:row>
      <xdr:rowOff>64770</xdr:rowOff>
    </xdr:to>
    <xdr:cxnSp macro="">
      <xdr:nvCxnSpPr>
        <xdr:cNvPr id="27" name="Straight Connector 26">
          <a:extLst>
            <a:ext uri="{FF2B5EF4-FFF2-40B4-BE49-F238E27FC236}">
              <a16:creationId xmlns:a16="http://schemas.microsoft.com/office/drawing/2014/main" id="{24CF0A47-563A-4DA4-837E-CA559C224995}"/>
            </a:ext>
          </a:extLst>
        </xdr:cNvPr>
        <xdr:cNvCxnSpPr/>
      </xdr:nvCxnSpPr>
      <xdr:spPr>
        <a:xfrm>
          <a:off x="1485900" y="796290"/>
          <a:ext cx="0" cy="365760"/>
        </a:xfrm>
        <a:prstGeom prst="line">
          <a:avLst/>
        </a:prstGeom>
        <a:ln w="9525">
          <a:solidFill>
            <a:schemeClr val="tx2">
              <a:lumMod val="25000"/>
              <a:lumOff val="75000"/>
            </a:schemeClr>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xdr:col>
      <xdr:colOff>385482</xdr:colOff>
      <xdr:row>4</xdr:row>
      <xdr:rowOff>116542</xdr:rowOff>
    </xdr:from>
    <xdr:to>
      <xdr:col>2</xdr:col>
      <xdr:colOff>215153</xdr:colOff>
      <xdr:row>6</xdr:row>
      <xdr:rowOff>18932</xdr:rowOff>
    </xdr:to>
    <xdr:pic>
      <xdr:nvPicPr>
        <xdr:cNvPr id="28" name="Picture 27">
          <a:extLst>
            <a:ext uri="{FF2B5EF4-FFF2-40B4-BE49-F238E27FC236}">
              <a16:creationId xmlns:a16="http://schemas.microsoft.com/office/drawing/2014/main" id="{9ABDB277-A110-430F-8617-399596768A6E}"/>
            </a:ext>
          </a:extLst>
        </xdr:cNvPr>
        <xdr:cNvPicPr>
          <a:picLocks noChangeAspect="1"/>
        </xdr:cNvPicPr>
      </xdr:nvPicPr>
      <xdr:blipFill>
        <a:blip xmlns:r="http://schemas.openxmlformats.org/officeDocument/2006/relationships" r:embed="rId5"/>
        <a:stretch>
          <a:fillRect/>
        </a:stretch>
      </xdr:blipFill>
      <xdr:spPr>
        <a:xfrm>
          <a:off x="995082" y="848062"/>
          <a:ext cx="439271" cy="268150"/>
        </a:xfrm>
        <a:prstGeom prst="rect">
          <a:avLst/>
        </a:prstGeom>
      </xdr:spPr>
    </xdr:pic>
    <xdr:clientData/>
  </xdr:twoCellAnchor>
  <xdr:twoCellAnchor>
    <xdr:from>
      <xdr:col>1</xdr:col>
      <xdr:colOff>514296</xdr:colOff>
      <xdr:row>12</xdr:row>
      <xdr:rowOff>31339</xdr:rowOff>
    </xdr:from>
    <xdr:to>
      <xdr:col>3</xdr:col>
      <xdr:colOff>419960</xdr:colOff>
      <xdr:row>16</xdr:row>
      <xdr:rowOff>5418</xdr:rowOff>
    </xdr:to>
    <xdr:grpSp>
      <xdr:nvGrpSpPr>
        <xdr:cNvPr id="29" name="Group 28">
          <a:hlinkClick xmlns:r="http://schemas.openxmlformats.org/officeDocument/2006/relationships" r:id="rId6"/>
          <a:extLst>
            <a:ext uri="{FF2B5EF4-FFF2-40B4-BE49-F238E27FC236}">
              <a16:creationId xmlns:a16="http://schemas.microsoft.com/office/drawing/2014/main" id="{C670CBC5-20AD-4A5B-9CBE-0CF2316541C5}"/>
            </a:ext>
          </a:extLst>
        </xdr:cNvPr>
        <xdr:cNvGrpSpPr/>
      </xdr:nvGrpSpPr>
      <xdr:grpSpPr>
        <a:xfrm>
          <a:off x="1123896" y="2203039"/>
          <a:ext cx="1124864" cy="697979"/>
          <a:chOff x="1123896" y="2225899"/>
          <a:chExt cx="1124864" cy="705599"/>
        </a:xfrm>
      </xdr:grpSpPr>
      <xdr:sp macro="" textlink="#REF!">
        <xdr:nvSpPr>
          <xdr:cNvPr id="30" name="TextBox 29">
            <a:extLst>
              <a:ext uri="{FF2B5EF4-FFF2-40B4-BE49-F238E27FC236}">
                <a16:creationId xmlns:a16="http://schemas.microsoft.com/office/drawing/2014/main" id="{20DFA16D-0DFA-06E2-FD24-53D35DD9540C}"/>
              </a:ext>
            </a:extLst>
          </xdr:cNvPr>
          <xdr:cNvSpPr txBox="1"/>
        </xdr:nvSpPr>
        <xdr:spPr>
          <a:xfrm>
            <a:off x="1123896" y="2675982"/>
            <a:ext cx="1124864" cy="255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chemeClr val="bg1"/>
                </a:solidFill>
                <a:latin typeface="Aptos Narrow"/>
                <a:ea typeface="+mn-ea"/>
                <a:cs typeface="+mn-cs"/>
              </a:rPr>
              <a:t>Real Sector</a:t>
            </a:r>
          </a:p>
        </xdr:txBody>
      </xdr:sp>
      <xdr:pic>
        <xdr:nvPicPr>
          <xdr:cNvPr id="31" name="Graphic 30" descr="Factory outline">
            <a:extLst>
              <a:ext uri="{FF2B5EF4-FFF2-40B4-BE49-F238E27FC236}">
                <a16:creationId xmlns:a16="http://schemas.microsoft.com/office/drawing/2014/main" id="{E549EF1F-8DBB-0D18-BEC7-585EA96F1B9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421216" y="2225899"/>
            <a:ext cx="527019" cy="535332"/>
          </a:xfrm>
          <a:prstGeom prst="rect">
            <a:avLst/>
          </a:prstGeom>
          <a:effectLst>
            <a:glow rad="101600">
              <a:srgbClr val="0575F1">
                <a:alpha val="40000"/>
              </a:srgbClr>
            </a:glow>
          </a:effectLst>
        </xdr:spPr>
      </xdr:pic>
    </xdr:grpSp>
    <xdr:clientData/>
  </xdr:twoCellAnchor>
  <xdr:twoCellAnchor>
    <xdr:from>
      <xdr:col>1</xdr:col>
      <xdr:colOff>493513</xdr:colOff>
      <xdr:row>16</xdr:row>
      <xdr:rowOff>44807</xdr:rowOff>
    </xdr:from>
    <xdr:to>
      <xdr:col>3</xdr:col>
      <xdr:colOff>399177</xdr:colOff>
      <xdr:row>20</xdr:row>
      <xdr:rowOff>10031</xdr:rowOff>
    </xdr:to>
    <xdr:grpSp>
      <xdr:nvGrpSpPr>
        <xdr:cNvPr id="32" name="Group 31">
          <a:hlinkClick xmlns:r="http://schemas.openxmlformats.org/officeDocument/2006/relationships" r:id="rId9"/>
          <a:extLst>
            <a:ext uri="{FF2B5EF4-FFF2-40B4-BE49-F238E27FC236}">
              <a16:creationId xmlns:a16="http://schemas.microsoft.com/office/drawing/2014/main" id="{FD6314E1-9A5B-4F02-B48B-93283B80F4C1}"/>
            </a:ext>
          </a:extLst>
        </xdr:cNvPr>
        <xdr:cNvGrpSpPr/>
      </xdr:nvGrpSpPr>
      <xdr:grpSpPr>
        <a:xfrm>
          <a:off x="1103113" y="2940407"/>
          <a:ext cx="1124864" cy="689124"/>
          <a:chOff x="1103113" y="2970887"/>
          <a:chExt cx="1124864" cy="696744"/>
        </a:xfrm>
      </xdr:grpSpPr>
      <xdr:pic>
        <xdr:nvPicPr>
          <xdr:cNvPr id="33" name="Graphic 32" descr="Bank outline">
            <a:extLst>
              <a:ext uri="{FF2B5EF4-FFF2-40B4-BE49-F238E27FC236}">
                <a16:creationId xmlns:a16="http://schemas.microsoft.com/office/drawing/2014/main" id="{6D00DDA8-1AF2-5C57-6751-C15B1F9DC67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401163" y="2970887"/>
            <a:ext cx="535254" cy="538929"/>
          </a:xfrm>
          <a:prstGeom prst="rect">
            <a:avLst/>
          </a:prstGeom>
        </xdr:spPr>
      </xdr:pic>
      <xdr:sp macro="" textlink="#REF!">
        <xdr:nvSpPr>
          <xdr:cNvPr id="34" name="TextBox 33">
            <a:extLst>
              <a:ext uri="{FF2B5EF4-FFF2-40B4-BE49-F238E27FC236}">
                <a16:creationId xmlns:a16="http://schemas.microsoft.com/office/drawing/2014/main" id="{B49B0123-0D15-245C-72B3-81E462A21722}"/>
              </a:ext>
            </a:extLst>
          </xdr:cNvPr>
          <xdr:cNvSpPr txBox="1"/>
        </xdr:nvSpPr>
        <xdr:spPr>
          <a:xfrm>
            <a:off x="1103113" y="3411300"/>
            <a:ext cx="1124864" cy="256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Monetary</a:t>
            </a:r>
          </a:p>
        </xdr:txBody>
      </xdr:sp>
    </xdr:grpSp>
    <xdr:clientData/>
  </xdr:twoCellAnchor>
  <xdr:twoCellAnchor>
    <xdr:from>
      <xdr:col>1</xdr:col>
      <xdr:colOff>493514</xdr:colOff>
      <xdr:row>20</xdr:row>
      <xdr:rowOff>46105</xdr:rowOff>
    </xdr:from>
    <xdr:to>
      <xdr:col>3</xdr:col>
      <xdr:colOff>399178</xdr:colOff>
      <xdr:row>24</xdr:row>
      <xdr:rowOff>14643</xdr:rowOff>
    </xdr:to>
    <xdr:grpSp>
      <xdr:nvGrpSpPr>
        <xdr:cNvPr id="35" name="Group 34">
          <a:hlinkClick xmlns:r="http://schemas.openxmlformats.org/officeDocument/2006/relationships" r:id="rId12"/>
          <a:extLst>
            <a:ext uri="{FF2B5EF4-FFF2-40B4-BE49-F238E27FC236}">
              <a16:creationId xmlns:a16="http://schemas.microsoft.com/office/drawing/2014/main" id="{B2AFED3C-9C85-4E80-9578-FCEF6063F736}"/>
            </a:ext>
          </a:extLst>
        </xdr:cNvPr>
        <xdr:cNvGrpSpPr/>
      </xdr:nvGrpSpPr>
      <xdr:grpSpPr>
        <a:xfrm>
          <a:off x="1103114" y="3665605"/>
          <a:ext cx="1124864" cy="692438"/>
          <a:chOff x="1103114" y="3703705"/>
          <a:chExt cx="1124864" cy="700058"/>
        </a:xfrm>
      </xdr:grpSpPr>
      <xdr:pic>
        <xdr:nvPicPr>
          <xdr:cNvPr id="36" name="Graphic 35" descr="Upward trend with solid fill">
            <a:extLst>
              <a:ext uri="{FF2B5EF4-FFF2-40B4-BE49-F238E27FC236}">
                <a16:creationId xmlns:a16="http://schemas.microsoft.com/office/drawing/2014/main" id="{D7FACAAD-CAF2-0621-1BC8-300B2A2C0DF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404870" y="3703705"/>
            <a:ext cx="537654" cy="545967"/>
          </a:xfrm>
          <a:prstGeom prst="rect">
            <a:avLst/>
          </a:prstGeom>
        </xdr:spPr>
      </xdr:pic>
      <xdr:sp macro="" textlink="#REF!">
        <xdr:nvSpPr>
          <xdr:cNvPr id="37" name="TextBox 36">
            <a:extLst>
              <a:ext uri="{FF2B5EF4-FFF2-40B4-BE49-F238E27FC236}">
                <a16:creationId xmlns:a16="http://schemas.microsoft.com/office/drawing/2014/main" id="{06002D13-0800-A388-C165-F90F63D31E12}"/>
              </a:ext>
            </a:extLst>
          </xdr:cNvPr>
          <xdr:cNvSpPr txBox="1"/>
        </xdr:nvSpPr>
        <xdr:spPr>
          <a:xfrm>
            <a:off x="1103114" y="4147432"/>
            <a:ext cx="1124864" cy="256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Inflation</a:t>
            </a:r>
          </a:p>
        </xdr:txBody>
      </xdr:sp>
    </xdr:grpSp>
    <xdr:clientData/>
  </xdr:twoCellAnchor>
  <xdr:twoCellAnchor>
    <xdr:from>
      <xdr:col>1</xdr:col>
      <xdr:colOff>521223</xdr:colOff>
      <xdr:row>24</xdr:row>
      <xdr:rowOff>33423</xdr:rowOff>
    </xdr:from>
    <xdr:to>
      <xdr:col>3</xdr:col>
      <xdr:colOff>426887</xdr:colOff>
      <xdr:row>28</xdr:row>
      <xdr:rowOff>19256</xdr:rowOff>
    </xdr:to>
    <xdr:grpSp>
      <xdr:nvGrpSpPr>
        <xdr:cNvPr id="38" name="Group 37">
          <a:hlinkClick xmlns:r="http://schemas.openxmlformats.org/officeDocument/2006/relationships" r:id="rId15"/>
          <a:extLst>
            <a:ext uri="{FF2B5EF4-FFF2-40B4-BE49-F238E27FC236}">
              <a16:creationId xmlns:a16="http://schemas.microsoft.com/office/drawing/2014/main" id="{CE0D7D1D-C85B-42DC-B46B-59FC3EAA2676}"/>
            </a:ext>
          </a:extLst>
        </xdr:cNvPr>
        <xdr:cNvGrpSpPr/>
      </xdr:nvGrpSpPr>
      <xdr:grpSpPr>
        <a:xfrm>
          <a:off x="1130823" y="4376823"/>
          <a:ext cx="1124864" cy="709733"/>
          <a:chOff x="1130823" y="4422543"/>
          <a:chExt cx="1124864" cy="717353"/>
        </a:xfrm>
      </xdr:grpSpPr>
      <xdr:pic>
        <xdr:nvPicPr>
          <xdr:cNvPr id="39" name="Graphic 38" descr="Construction worker male outline">
            <a:extLst>
              <a:ext uri="{FF2B5EF4-FFF2-40B4-BE49-F238E27FC236}">
                <a16:creationId xmlns:a16="http://schemas.microsoft.com/office/drawing/2014/main" id="{AFC24CF3-FFB9-CE36-05C1-4B35A12BA953}"/>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423402" y="4422543"/>
            <a:ext cx="540054" cy="548367"/>
          </a:xfrm>
          <a:prstGeom prst="rect">
            <a:avLst/>
          </a:prstGeom>
        </xdr:spPr>
      </xdr:pic>
      <xdr:sp macro="" textlink="#REF!">
        <xdr:nvSpPr>
          <xdr:cNvPr id="40" name="TextBox 39">
            <a:extLst>
              <a:ext uri="{FF2B5EF4-FFF2-40B4-BE49-F238E27FC236}">
                <a16:creationId xmlns:a16="http://schemas.microsoft.com/office/drawing/2014/main" id="{818BEF42-72EC-C371-D602-532E5EC3AEA8}"/>
              </a:ext>
            </a:extLst>
          </xdr:cNvPr>
          <xdr:cNvSpPr txBox="1"/>
        </xdr:nvSpPr>
        <xdr:spPr>
          <a:xfrm>
            <a:off x="1130823" y="4883565"/>
            <a:ext cx="1124864" cy="256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Labour</a:t>
            </a:r>
          </a:p>
        </xdr:txBody>
      </xdr:sp>
    </xdr:grpSp>
    <xdr:clientData/>
  </xdr:twoCellAnchor>
  <xdr:twoCellAnchor>
    <xdr:from>
      <xdr:col>1</xdr:col>
      <xdr:colOff>514296</xdr:colOff>
      <xdr:row>28</xdr:row>
      <xdr:rowOff>41325</xdr:rowOff>
    </xdr:from>
    <xdr:to>
      <xdr:col>3</xdr:col>
      <xdr:colOff>419960</xdr:colOff>
      <xdr:row>32</xdr:row>
      <xdr:rowOff>23868</xdr:rowOff>
    </xdr:to>
    <xdr:grpSp>
      <xdr:nvGrpSpPr>
        <xdr:cNvPr id="41" name="Group 40">
          <a:hlinkClick xmlns:r="http://schemas.openxmlformats.org/officeDocument/2006/relationships" r:id="rId18"/>
          <a:extLst>
            <a:ext uri="{FF2B5EF4-FFF2-40B4-BE49-F238E27FC236}">
              <a16:creationId xmlns:a16="http://schemas.microsoft.com/office/drawing/2014/main" id="{96A66655-A79B-4B34-B5C6-AD146F3978A2}"/>
            </a:ext>
          </a:extLst>
        </xdr:cNvPr>
        <xdr:cNvGrpSpPr/>
      </xdr:nvGrpSpPr>
      <xdr:grpSpPr>
        <a:xfrm>
          <a:off x="1123896" y="5108625"/>
          <a:ext cx="1124864" cy="706443"/>
          <a:chOff x="1123896" y="5161965"/>
          <a:chExt cx="1124864" cy="714063"/>
        </a:xfrm>
      </xdr:grpSpPr>
      <xdr:pic>
        <xdr:nvPicPr>
          <xdr:cNvPr id="42" name="Graphic 41" descr="Miscellaneous outline">
            <a:extLst>
              <a:ext uri="{FF2B5EF4-FFF2-40B4-BE49-F238E27FC236}">
                <a16:creationId xmlns:a16="http://schemas.microsoft.com/office/drawing/2014/main" id="{5ED900AD-434F-0313-73A4-CB4D8BC613DA}"/>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391164" y="5161965"/>
            <a:ext cx="616527" cy="624839"/>
          </a:xfrm>
          <a:prstGeom prst="rect">
            <a:avLst/>
          </a:prstGeom>
        </xdr:spPr>
      </xdr:pic>
      <xdr:sp macro="" textlink="#REF!">
        <xdr:nvSpPr>
          <xdr:cNvPr id="43" name="TextBox 42">
            <a:extLst>
              <a:ext uri="{FF2B5EF4-FFF2-40B4-BE49-F238E27FC236}">
                <a16:creationId xmlns:a16="http://schemas.microsoft.com/office/drawing/2014/main" id="{168F2314-B379-38B4-E1C6-FF9810C48642}"/>
              </a:ext>
            </a:extLst>
          </xdr:cNvPr>
          <xdr:cNvSpPr txBox="1"/>
        </xdr:nvSpPr>
        <xdr:spPr>
          <a:xfrm>
            <a:off x="1123896" y="5619697"/>
            <a:ext cx="1124864" cy="256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External</a:t>
            </a:r>
          </a:p>
        </xdr:txBody>
      </xdr:sp>
    </xdr:grpSp>
    <xdr:clientData/>
  </xdr:twoCellAnchor>
  <xdr:twoCellAnchor>
    <xdr:from>
      <xdr:col>1</xdr:col>
      <xdr:colOff>521224</xdr:colOff>
      <xdr:row>31</xdr:row>
      <xdr:rowOff>149881</xdr:rowOff>
    </xdr:from>
    <xdr:to>
      <xdr:col>3</xdr:col>
      <xdr:colOff>426888</xdr:colOff>
      <xdr:row>36</xdr:row>
      <xdr:rowOff>28481</xdr:rowOff>
    </xdr:to>
    <xdr:grpSp>
      <xdr:nvGrpSpPr>
        <xdr:cNvPr id="44" name="Group 43">
          <a:hlinkClick xmlns:r="http://schemas.openxmlformats.org/officeDocument/2006/relationships" r:id="rId21"/>
          <a:extLst>
            <a:ext uri="{FF2B5EF4-FFF2-40B4-BE49-F238E27FC236}">
              <a16:creationId xmlns:a16="http://schemas.microsoft.com/office/drawing/2014/main" id="{ABED74A3-EEE6-4E94-98B5-6EB90D7E2BF0}"/>
            </a:ext>
          </a:extLst>
        </xdr:cNvPr>
        <xdr:cNvGrpSpPr/>
      </xdr:nvGrpSpPr>
      <xdr:grpSpPr>
        <a:xfrm>
          <a:off x="1130824" y="5760106"/>
          <a:ext cx="1124864" cy="783475"/>
          <a:chOff x="1130824" y="5819161"/>
          <a:chExt cx="1124864" cy="793000"/>
        </a:xfrm>
      </xdr:grpSpPr>
      <xdr:pic>
        <xdr:nvPicPr>
          <xdr:cNvPr id="45" name="Graphic 44" descr="Scales of justice outline">
            <a:extLst>
              <a:ext uri="{FF2B5EF4-FFF2-40B4-BE49-F238E27FC236}">
                <a16:creationId xmlns:a16="http://schemas.microsoft.com/office/drawing/2014/main" id="{C8708223-88D9-197B-EE5A-9AF8C4938D0B}"/>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410764" y="5819161"/>
            <a:ext cx="586418" cy="598317"/>
          </a:xfrm>
          <a:prstGeom prst="rect">
            <a:avLst/>
          </a:prstGeom>
        </xdr:spPr>
      </xdr:pic>
      <xdr:sp macro="" textlink="#REF!">
        <xdr:nvSpPr>
          <xdr:cNvPr id="46" name="TextBox 45">
            <a:extLst>
              <a:ext uri="{FF2B5EF4-FFF2-40B4-BE49-F238E27FC236}">
                <a16:creationId xmlns:a16="http://schemas.microsoft.com/office/drawing/2014/main" id="{2FE1E573-261C-C4BD-AEE0-291DE4158733}"/>
              </a:ext>
            </a:extLst>
          </xdr:cNvPr>
          <xdr:cNvSpPr txBox="1"/>
        </xdr:nvSpPr>
        <xdr:spPr>
          <a:xfrm>
            <a:off x="1130824" y="6355830"/>
            <a:ext cx="1124864" cy="256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Fiscal</a:t>
            </a:r>
          </a:p>
        </xdr:txBody>
      </xdr:sp>
    </xdr:grpSp>
    <xdr:clientData/>
  </xdr:twoCellAnchor>
  <xdr:twoCellAnchor>
    <xdr:from>
      <xdr:col>1</xdr:col>
      <xdr:colOff>521224</xdr:colOff>
      <xdr:row>36</xdr:row>
      <xdr:rowOff>57807</xdr:rowOff>
    </xdr:from>
    <xdr:to>
      <xdr:col>3</xdr:col>
      <xdr:colOff>426888</xdr:colOff>
      <xdr:row>40</xdr:row>
      <xdr:rowOff>29510</xdr:rowOff>
    </xdr:to>
    <xdr:grpSp>
      <xdr:nvGrpSpPr>
        <xdr:cNvPr id="47" name="Group 46">
          <a:hlinkClick xmlns:r="http://schemas.openxmlformats.org/officeDocument/2006/relationships" r:id="rId24"/>
          <a:extLst>
            <a:ext uri="{FF2B5EF4-FFF2-40B4-BE49-F238E27FC236}">
              <a16:creationId xmlns:a16="http://schemas.microsoft.com/office/drawing/2014/main" id="{0FFB2315-7D56-4106-A98B-7FA25541F1AA}"/>
            </a:ext>
          </a:extLst>
        </xdr:cNvPr>
        <xdr:cNvGrpSpPr/>
      </xdr:nvGrpSpPr>
      <xdr:grpSpPr>
        <a:xfrm>
          <a:off x="1130824" y="6572907"/>
          <a:ext cx="1124864" cy="695603"/>
          <a:chOff x="1130824" y="6641487"/>
          <a:chExt cx="1124864" cy="703223"/>
        </a:xfrm>
      </xdr:grpSpPr>
      <xdr:pic>
        <xdr:nvPicPr>
          <xdr:cNvPr id="48" name="Graphic 47" descr="Closed book outline">
            <a:extLst>
              <a:ext uri="{FF2B5EF4-FFF2-40B4-BE49-F238E27FC236}">
                <a16:creationId xmlns:a16="http://schemas.microsoft.com/office/drawing/2014/main" id="{C91DE876-8E45-2C2B-7295-4DD41FA4B2C7}"/>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1417845" y="6641487"/>
            <a:ext cx="508802" cy="516057"/>
          </a:xfrm>
          <a:prstGeom prst="rect">
            <a:avLst/>
          </a:prstGeom>
        </xdr:spPr>
      </xdr:pic>
      <xdr:sp macro="" textlink="#REF!">
        <xdr:nvSpPr>
          <xdr:cNvPr id="49" name="TextBox 48">
            <a:extLst>
              <a:ext uri="{FF2B5EF4-FFF2-40B4-BE49-F238E27FC236}">
                <a16:creationId xmlns:a16="http://schemas.microsoft.com/office/drawing/2014/main" id="{FC50BBB4-9E1E-E91B-76F0-CE870BF2E9EB}"/>
              </a:ext>
            </a:extLst>
          </xdr:cNvPr>
          <xdr:cNvSpPr txBox="1"/>
        </xdr:nvSpPr>
        <xdr:spPr>
          <a:xfrm>
            <a:off x="1130824" y="7091965"/>
            <a:ext cx="1124864" cy="252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Summary</a:t>
            </a:r>
          </a:p>
        </xdr:txBody>
      </xdr:sp>
    </xdr:grpSp>
    <xdr:clientData/>
  </xdr:twoCellAnchor>
  <xdr:twoCellAnchor editAs="oneCell">
    <xdr:from>
      <xdr:col>4</xdr:col>
      <xdr:colOff>233079</xdr:colOff>
      <xdr:row>4</xdr:row>
      <xdr:rowOff>144781</xdr:rowOff>
    </xdr:from>
    <xdr:to>
      <xdr:col>22</xdr:col>
      <xdr:colOff>17928</xdr:colOff>
      <xdr:row>11</xdr:row>
      <xdr:rowOff>17929</xdr:rowOff>
    </xdr:to>
    <mc:AlternateContent xmlns:mc="http://schemas.openxmlformats.org/markup-compatibility/2006" xmlns:a14="http://schemas.microsoft.com/office/drawing/2010/main">
      <mc:Choice Requires="a14">
        <xdr:graphicFrame macro="">
          <xdr:nvGraphicFramePr>
            <xdr:cNvPr id="55" name="Year 1">
              <a:extLst>
                <a:ext uri="{FF2B5EF4-FFF2-40B4-BE49-F238E27FC236}">
                  <a16:creationId xmlns:a16="http://schemas.microsoft.com/office/drawing/2014/main" id="{5A8C4B67-B2EB-4DAE-AD7D-E446ABAA115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671479" y="868681"/>
              <a:ext cx="10757649" cy="11399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21925</xdr:colOff>
      <xdr:row>12</xdr:row>
      <xdr:rowOff>54251</xdr:rowOff>
    </xdr:from>
    <xdr:to>
      <xdr:col>22</xdr:col>
      <xdr:colOff>170329</xdr:colOff>
      <xdr:row>28</xdr:row>
      <xdr:rowOff>7109</xdr:rowOff>
    </xdr:to>
    <xdr:graphicFrame macro="">
      <xdr:nvGraphicFramePr>
        <xdr:cNvPr id="56" name="Chart 55">
          <a:extLst>
            <a:ext uri="{FF2B5EF4-FFF2-40B4-BE49-F238E27FC236}">
              <a16:creationId xmlns:a16="http://schemas.microsoft.com/office/drawing/2014/main" id="{CC24D49F-1452-48BC-AE17-DDE66A09CE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4</xdr:col>
      <xdr:colOff>87522</xdr:colOff>
      <xdr:row>28</xdr:row>
      <xdr:rowOff>38100</xdr:rowOff>
    </xdr:from>
    <xdr:to>
      <xdr:col>12</xdr:col>
      <xdr:colOff>479408</xdr:colOff>
      <xdr:row>42</xdr:row>
      <xdr:rowOff>62811</xdr:rowOff>
    </xdr:to>
    <xdr:sp macro="" textlink="">
      <xdr:nvSpPr>
        <xdr:cNvPr id="73" name="Rectangle: Rounded Corners 72">
          <a:extLst>
            <a:ext uri="{FF2B5EF4-FFF2-40B4-BE49-F238E27FC236}">
              <a16:creationId xmlns:a16="http://schemas.microsoft.com/office/drawing/2014/main" id="{A0C483FA-A294-4986-8EEB-99BEE061E2AF}"/>
            </a:ext>
          </a:extLst>
        </xdr:cNvPr>
        <xdr:cNvSpPr/>
      </xdr:nvSpPr>
      <xdr:spPr>
        <a:xfrm>
          <a:off x="2525922" y="5105400"/>
          <a:ext cx="5268686" cy="2558361"/>
        </a:xfrm>
        <a:prstGeom prst="roundRect">
          <a:avLst>
            <a:gd name="adj" fmla="val 7394"/>
          </a:avLst>
        </a:prstGeom>
        <a:gradFill>
          <a:gsLst>
            <a:gs pos="0">
              <a:srgbClr val="323687"/>
            </a:gs>
            <a:gs pos="88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344697</xdr:colOff>
      <xdr:row>28</xdr:row>
      <xdr:rowOff>9525</xdr:rowOff>
    </xdr:from>
    <xdr:to>
      <xdr:col>12</xdr:col>
      <xdr:colOff>249447</xdr:colOff>
      <xdr:row>42</xdr:row>
      <xdr:rowOff>38100</xdr:rowOff>
    </xdr:to>
    <xdr:graphicFrame macro="">
      <xdr:nvGraphicFramePr>
        <xdr:cNvPr id="74" name="Chart 73">
          <a:extLst>
            <a:ext uri="{FF2B5EF4-FFF2-40B4-BE49-F238E27FC236}">
              <a16:creationId xmlns:a16="http://schemas.microsoft.com/office/drawing/2014/main" id="{0FA80303-DCD6-4557-891E-D466C0929E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13</xdr:col>
      <xdr:colOff>1797</xdr:colOff>
      <xdr:row>28</xdr:row>
      <xdr:rowOff>48172</xdr:rowOff>
    </xdr:from>
    <xdr:to>
      <xdr:col>17</xdr:col>
      <xdr:colOff>342900</xdr:colOff>
      <xdr:row>42</xdr:row>
      <xdr:rowOff>171451</xdr:rowOff>
    </xdr:to>
    <xdr:grpSp>
      <xdr:nvGrpSpPr>
        <xdr:cNvPr id="78" name="Group 77">
          <a:extLst>
            <a:ext uri="{FF2B5EF4-FFF2-40B4-BE49-F238E27FC236}">
              <a16:creationId xmlns:a16="http://schemas.microsoft.com/office/drawing/2014/main" id="{A08B6084-1750-DCF2-7F49-50BC1717D837}"/>
            </a:ext>
          </a:extLst>
        </xdr:cNvPr>
        <xdr:cNvGrpSpPr/>
      </xdr:nvGrpSpPr>
      <xdr:grpSpPr>
        <a:xfrm>
          <a:off x="7926597" y="5115472"/>
          <a:ext cx="2779503" cy="2656929"/>
          <a:chOff x="8069472" y="5105400"/>
          <a:chExt cx="2779503" cy="2619375"/>
        </a:xfrm>
      </xdr:grpSpPr>
      <xdr:sp macro="" textlink="">
        <xdr:nvSpPr>
          <xdr:cNvPr id="76" name="Rectangle: Rounded Corners 75">
            <a:extLst>
              <a:ext uri="{FF2B5EF4-FFF2-40B4-BE49-F238E27FC236}">
                <a16:creationId xmlns:a16="http://schemas.microsoft.com/office/drawing/2014/main" id="{05EE6038-AF38-0B8C-37D2-35B0472FF11D}"/>
              </a:ext>
            </a:extLst>
          </xdr:cNvPr>
          <xdr:cNvSpPr/>
        </xdr:nvSpPr>
        <xdr:spPr>
          <a:xfrm>
            <a:off x="8069472" y="5105400"/>
            <a:ext cx="2779503" cy="2558361"/>
          </a:xfrm>
          <a:prstGeom prst="roundRect">
            <a:avLst>
              <a:gd name="adj" fmla="val 7394"/>
            </a:avLst>
          </a:prstGeom>
          <a:gradFill>
            <a:gsLst>
              <a:gs pos="0">
                <a:srgbClr val="323687"/>
              </a:gs>
              <a:gs pos="88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aphicFrame macro="">
        <xdr:nvGraphicFramePr>
          <xdr:cNvPr id="77" name="Chart 76">
            <a:extLst>
              <a:ext uri="{FF2B5EF4-FFF2-40B4-BE49-F238E27FC236}">
                <a16:creationId xmlns:a16="http://schemas.microsoft.com/office/drawing/2014/main" id="{4EE14140-8C3D-4989-B14D-65A0DA104ECC}"/>
              </a:ext>
            </a:extLst>
          </xdr:cNvPr>
          <xdr:cNvGraphicFramePr>
            <a:graphicFrameLocks/>
          </xdr:cNvGraphicFramePr>
        </xdr:nvGraphicFramePr>
        <xdr:xfrm>
          <a:off x="8105775" y="5217546"/>
          <a:ext cx="2705100" cy="2507229"/>
        </xdr:xfrm>
        <a:graphic>
          <a:graphicData uri="http://schemas.openxmlformats.org/drawingml/2006/chart">
            <c:chart xmlns:c="http://schemas.openxmlformats.org/drawingml/2006/chart" xmlns:r="http://schemas.openxmlformats.org/officeDocument/2006/relationships" r:id="rId29"/>
          </a:graphicData>
        </a:graphic>
      </xdr:graphicFrame>
    </xdr:grpSp>
    <xdr:clientData/>
  </xdr:twoCellAnchor>
  <xdr:twoCellAnchor>
    <xdr:from>
      <xdr:col>17</xdr:col>
      <xdr:colOff>478047</xdr:colOff>
      <xdr:row>28</xdr:row>
      <xdr:rowOff>76200</xdr:rowOff>
    </xdr:from>
    <xdr:to>
      <xdr:col>22</xdr:col>
      <xdr:colOff>123825</xdr:colOff>
      <xdr:row>42</xdr:row>
      <xdr:rowOff>100911</xdr:rowOff>
    </xdr:to>
    <xdr:sp macro="" textlink="">
      <xdr:nvSpPr>
        <xdr:cNvPr id="79" name="Rectangle: Rounded Corners 78">
          <a:extLst>
            <a:ext uri="{FF2B5EF4-FFF2-40B4-BE49-F238E27FC236}">
              <a16:creationId xmlns:a16="http://schemas.microsoft.com/office/drawing/2014/main" id="{D23B6C15-6698-4DA1-2709-E68DA4EB612D}"/>
            </a:ext>
          </a:extLst>
        </xdr:cNvPr>
        <xdr:cNvSpPr/>
      </xdr:nvSpPr>
      <xdr:spPr>
        <a:xfrm>
          <a:off x="10841247" y="5143500"/>
          <a:ext cx="2693778" cy="2558361"/>
        </a:xfrm>
        <a:prstGeom prst="roundRect">
          <a:avLst>
            <a:gd name="adj" fmla="val 7394"/>
          </a:avLst>
        </a:prstGeom>
        <a:gradFill>
          <a:gsLst>
            <a:gs pos="0">
              <a:srgbClr val="323687"/>
            </a:gs>
            <a:gs pos="88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17</xdr:col>
      <xdr:colOff>430924</xdr:colOff>
      <xdr:row>29</xdr:row>
      <xdr:rowOff>0</xdr:rowOff>
    </xdr:from>
    <xdr:to>
      <xdr:col>22</xdr:col>
      <xdr:colOff>200025</xdr:colOff>
      <xdr:row>41</xdr:row>
      <xdr:rowOff>161925</xdr:rowOff>
    </xdr:to>
    <xdr:graphicFrame macro="">
      <xdr:nvGraphicFramePr>
        <xdr:cNvPr id="80" name="Chart 79">
          <a:extLst>
            <a:ext uri="{FF2B5EF4-FFF2-40B4-BE49-F238E27FC236}">
              <a16:creationId xmlns:a16="http://schemas.microsoft.com/office/drawing/2014/main" id="{D8D34DCC-91AA-41C4-A26C-1727321AAF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464820</xdr:colOff>
      <xdr:row>1</xdr:row>
      <xdr:rowOff>83820</xdr:rowOff>
    </xdr:from>
    <xdr:to>
      <xdr:col>1</xdr:col>
      <xdr:colOff>495300</xdr:colOff>
      <xdr:row>3</xdr:row>
      <xdr:rowOff>53340</xdr:rowOff>
    </xdr:to>
    <xdr:sp macro="" textlink="">
      <xdr:nvSpPr>
        <xdr:cNvPr id="2" name="Rectangle 1">
          <a:extLst>
            <a:ext uri="{FF2B5EF4-FFF2-40B4-BE49-F238E27FC236}">
              <a16:creationId xmlns:a16="http://schemas.microsoft.com/office/drawing/2014/main" id="{D4383458-0D9B-4B7E-ACCE-4EACAC3234F5}"/>
            </a:ext>
          </a:extLst>
        </xdr:cNvPr>
        <xdr:cNvSpPr/>
      </xdr:nvSpPr>
      <xdr:spPr>
        <a:xfrm>
          <a:off x="464820" y="266700"/>
          <a:ext cx="640080" cy="335280"/>
        </a:xfrm>
        <a:prstGeom prst="rect">
          <a:avLst/>
        </a:prstGeom>
        <a:solidFill>
          <a:srgbClr val="1214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392238</xdr:colOff>
      <xdr:row>0</xdr:row>
      <xdr:rowOff>167640</xdr:rowOff>
    </xdr:from>
    <xdr:to>
      <xdr:col>23</xdr:col>
      <xdr:colOff>156018</xdr:colOff>
      <xdr:row>45</xdr:row>
      <xdr:rowOff>53340</xdr:rowOff>
    </xdr:to>
    <xdr:sp macro="" textlink="">
      <xdr:nvSpPr>
        <xdr:cNvPr id="3" name="Rectangle: Rounded Corners 2">
          <a:extLst>
            <a:ext uri="{FF2B5EF4-FFF2-40B4-BE49-F238E27FC236}">
              <a16:creationId xmlns:a16="http://schemas.microsoft.com/office/drawing/2014/main" id="{006E913C-5B4D-45EB-B109-D559D748173C}"/>
            </a:ext>
          </a:extLst>
        </xdr:cNvPr>
        <xdr:cNvSpPr/>
      </xdr:nvSpPr>
      <xdr:spPr>
        <a:xfrm>
          <a:off x="392238" y="167640"/>
          <a:ext cx="13784580" cy="8115300"/>
        </a:xfrm>
        <a:prstGeom prst="roundRect">
          <a:avLst>
            <a:gd name="adj" fmla="val 6581"/>
          </a:avLst>
        </a:prstGeom>
        <a:gradFill flip="none" rotWithShape="1">
          <a:gsLst>
            <a:gs pos="0">
              <a:srgbClr val="1F2357"/>
            </a:gs>
            <a:gs pos="75000">
              <a:srgbClr val="10123B"/>
            </a:gs>
          </a:gsLst>
          <a:lin ang="8100000" scaled="1"/>
          <a:tileRect/>
        </a:gradFill>
        <a:ln w="9525">
          <a:gradFill flip="none" rotWithShape="1">
            <a:gsLst>
              <a:gs pos="0">
                <a:srgbClr val="4647A6"/>
              </a:gs>
              <a:gs pos="100000">
                <a:srgbClr val="333787"/>
              </a:gs>
            </a:gsLst>
            <a:lin ang="8100000" scaled="1"/>
            <a:tileRect/>
          </a:grad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ru-RU"/>
            <a:t> </a:t>
          </a:r>
        </a:p>
      </xdr:txBody>
    </xdr:sp>
    <xdr:clientData/>
  </xdr:twoCellAnchor>
  <xdr:twoCellAnchor>
    <xdr:from>
      <xdr:col>1</xdr:col>
      <xdr:colOff>116097</xdr:colOff>
      <xdr:row>2</xdr:row>
      <xdr:rowOff>100664</xdr:rowOff>
    </xdr:from>
    <xdr:to>
      <xdr:col>22</xdr:col>
      <xdr:colOff>458997</xdr:colOff>
      <xdr:row>43</xdr:row>
      <xdr:rowOff>99059</xdr:rowOff>
    </xdr:to>
    <xdr:sp macro="" textlink="">
      <xdr:nvSpPr>
        <xdr:cNvPr id="4" name="Rectangle: Rounded Corners 3">
          <a:extLst>
            <a:ext uri="{FF2B5EF4-FFF2-40B4-BE49-F238E27FC236}">
              <a16:creationId xmlns:a16="http://schemas.microsoft.com/office/drawing/2014/main" id="{6507A732-32D5-4439-B63B-68DFFE961911}"/>
            </a:ext>
          </a:extLst>
        </xdr:cNvPr>
        <xdr:cNvSpPr/>
      </xdr:nvSpPr>
      <xdr:spPr>
        <a:xfrm>
          <a:off x="725697" y="466424"/>
          <a:ext cx="13144500" cy="7496475"/>
        </a:xfrm>
        <a:prstGeom prst="roundRect">
          <a:avLst>
            <a:gd name="adj" fmla="val 5042"/>
          </a:avLst>
        </a:prstGeom>
        <a:gradFill flip="none" rotWithShape="1">
          <a:gsLst>
            <a:gs pos="0">
              <a:srgbClr val="20245A"/>
            </a:gs>
            <a:gs pos="75000">
              <a:srgbClr val="10123B"/>
            </a:gs>
          </a:gsLst>
          <a:lin ang="8100000" scaled="1"/>
          <a:tileRect/>
        </a:gradFill>
        <a:ln w="9525">
          <a:gradFill flip="none" rotWithShape="1">
            <a:gsLst>
              <a:gs pos="0">
                <a:srgbClr val="B9C1FF"/>
              </a:gs>
              <a:gs pos="33000">
                <a:srgbClr val="3D4098"/>
              </a:gs>
              <a:gs pos="100000">
                <a:srgbClr val="333787"/>
              </a:gs>
            </a:gsLst>
            <a:lin ang="9000000" scaled="0"/>
            <a:tileRect/>
          </a:gradFill>
        </a:ln>
        <a:effectLst>
          <a:outerShdw blurRad="2540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99060</xdr:colOff>
      <xdr:row>4</xdr:row>
      <xdr:rowOff>23019</xdr:rowOff>
    </xdr:from>
    <xdr:to>
      <xdr:col>22</xdr:col>
      <xdr:colOff>183490</xdr:colOff>
      <xdr:row>11</xdr:row>
      <xdr:rowOff>125506</xdr:rowOff>
    </xdr:to>
    <xdr:sp macro="" textlink="">
      <xdr:nvSpPr>
        <xdr:cNvPr id="5" name="Rectangle: Rounded Corners 4">
          <a:extLst>
            <a:ext uri="{FF2B5EF4-FFF2-40B4-BE49-F238E27FC236}">
              <a16:creationId xmlns:a16="http://schemas.microsoft.com/office/drawing/2014/main" id="{3A12F651-8D4C-460A-A8E8-9AC150FFF89D}"/>
            </a:ext>
          </a:extLst>
        </xdr:cNvPr>
        <xdr:cNvSpPr/>
      </xdr:nvSpPr>
      <xdr:spPr>
        <a:xfrm>
          <a:off x="2537460" y="754539"/>
          <a:ext cx="11057230" cy="1382647"/>
        </a:xfrm>
        <a:prstGeom prst="roundRect">
          <a:avLst>
            <a:gd name="adj" fmla="val 14979"/>
          </a:avLst>
        </a:prstGeom>
        <a:gradFill>
          <a:gsLst>
            <a:gs pos="97000">
              <a:srgbClr val="2C3076"/>
            </a:gs>
            <a:gs pos="5000">
              <a:srgbClr val="2C3076"/>
            </a:gs>
            <a:gs pos="0">
              <a:srgbClr val="323687"/>
            </a:gs>
            <a:gs pos="100000">
              <a:srgbClr val="22255C"/>
            </a:gs>
          </a:gsLst>
          <a:lin ang="108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132193</xdr:colOff>
      <xdr:row>13</xdr:row>
      <xdr:rowOff>22088</xdr:rowOff>
    </xdr:from>
    <xdr:to>
      <xdr:col>13</xdr:col>
      <xdr:colOff>292213</xdr:colOff>
      <xdr:row>30</xdr:row>
      <xdr:rowOff>171451</xdr:rowOff>
    </xdr:to>
    <xdr:sp macro="" textlink="">
      <xdr:nvSpPr>
        <xdr:cNvPr id="6" name="Rectangle: Rounded Corners 5">
          <a:extLst>
            <a:ext uri="{FF2B5EF4-FFF2-40B4-BE49-F238E27FC236}">
              <a16:creationId xmlns:a16="http://schemas.microsoft.com/office/drawing/2014/main" id="{813DDE39-37D2-4A11-9048-B7D001139681}"/>
            </a:ext>
          </a:extLst>
        </xdr:cNvPr>
        <xdr:cNvSpPr/>
      </xdr:nvSpPr>
      <xdr:spPr>
        <a:xfrm>
          <a:off x="2570593" y="2374763"/>
          <a:ext cx="5646420" cy="3225938"/>
        </a:xfrm>
        <a:prstGeom prst="roundRect">
          <a:avLst>
            <a:gd name="adj" fmla="val 7935"/>
          </a:avLst>
        </a:prstGeom>
        <a:gradFill>
          <a:gsLst>
            <a:gs pos="0">
              <a:srgbClr val="323687"/>
            </a:gs>
            <a:gs pos="75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435597</xdr:colOff>
      <xdr:row>7</xdr:row>
      <xdr:rowOff>161730</xdr:rowOff>
    </xdr:from>
    <xdr:to>
      <xdr:col>3</xdr:col>
      <xdr:colOff>498058</xdr:colOff>
      <xdr:row>42</xdr:row>
      <xdr:rowOff>38100</xdr:rowOff>
    </xdr:to>
    <xdr:sp macro="" textlink="">
      <xdr:nvSpPr>
        <xdr:cNvPr id="9" name="Rectangle: Rounded Corners 8">
          <a:extLst>
            <a:ext uri="{FF2B5EF4-FFF2-40B4-BE49-F238E27FC236}">
              <a16:creationId xmlns:a16="http://schemas.microsoft.com/office/drawing/2014/main" id="{A6ADD77D-5763-490D-A1CF-E2687153AD2A}"/>
            </a:ext>
          </a:extLst>
        </xdr:cNvPr>
        <xdr:cNvSpPr/>
      </xdr:nvSpPr>
      <xdr:spPr>
        <a:xfrm>
          <a:off x="1045197" y="1441890"/>
          <a:ext cx="1281661" cy="6277170"/>
        </a:xfrm>
        <a:prstGeom prst="roundRect">
          <a:avLst>
            <a:gd name="adj" fmla="val 18817"/>
          </a:avLst>
        </a:prstGeom>
        <a:gradFill>
          <a:gsLst>
            <a:gs pos="0">
              <a:srgbClr val="2E317C"/>
            </a:gs>
            <a:gs pos="23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500140</xdr:colOff>
      <xdr:row>8</xdr:row>
      <xdr:rowOff>90747</xdr:rowOff>
    </xdr:from>
    <xdr:to>
      <xdr:col>3</xdr:col>
      <xdr:colOff>405804</xdr:colOff>
      <xdr:row>12</xdr:row>
      <xdr:rowOff>1621</xdr:rowOff>
    </xdr:to>
    <xdr:grpSp>
      <xdr:nvGrpSpPr>
        <xdr:cNvPr id="10" name="Group 9">
          <a:hlinkClick xmlns:r="http://schemas.openxmlformats.org/officeDocument/2006/relationships" r:id="rId1"/>
          <a:extLst>
            <a:ext uri="{FF2B5EF4-FFF2-40B4-BE49-F238E27FC236}">
              <a16:creationId xmlns:a16="http://schemas.microsoft.com/office/drawing/2014/main" id="{935C2B65-5E42-418C-BAED-1B93C14DBBFC}"/>
            </a:ext>
          </a:extLst>
        </xdr:cNvPr>
        <xdr:cNvGrpSpPr/>
      </xdr:nvGrpSpPr>
      <xdr:grpSpPr>
        <a:xfrm>
          <a:off x="1109740" y="1538547"/>
          <a:ext cx="1124864" cy="634774"/>
          <a:chOff x="1109740" y="1553787"/>
          <a:chExt cx="1124864" cy="642394"/>
        </a:xfrm>
      </xdr:grpSpPr>
      <xdr:pic>
        <xdr:nvPicPr>
          <xdr:cNvPr id="11" name="Graphic 10" descr="Home with solid fill">
            <a:extLst>
              <a:ext uri="{FF2B5EF4-FFF2-40B4-BE49-F238E27FC236}">
                <a16:creationId xmlns:a16="http://schemas.microsoft.com/office/drawing/2014/main" id="{2D7E07A3-AB69-07DD-5FAD-CA763066286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56113" y="1553787"/>
            <a:ext cx="426720" cy="426720"/>
          </a:xfrm>
          <a:prstGeom prst="rect">
            <a:avLst/>
          </a:prstGeom>
          <a:effectLst/>
        </xdr:spPr>
      </xdr:pic>
      <xdr:sp macro="" textlink="#REF!">
        <xdr:nvSpPr>
          <xdr:cNvPr id="12" name="TextBox 11">
            <a:extLst>
              <a:ext uri="{FF2B5EF4-FFF2-40B4-BE49-F238E27FC236}">
                <a16:creationId xmlns:a16="http://schemas.microsoft.com/office/drawing/2014/main" id="{5BDA87B4-BCE4-B298-AF8B-622826150AD1}"/>
              </a:ext>
            </a:extLst>
          </xdr:cNvPr>
          <xdr:cNvSpPr txBox="1"/>
        </xdr:nvSpPr>
        <xdr:spPr>
          <a:xfrm>
            <a:off x="1109740" y="1935244"/>
            <a:ext cx="1124864" cy="260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3D42D12-6D1C-4BD6-BF7A-FB3615575702}" type="TxLink">
              <a:rPr lang="en-US" sz="1400" b="0" i="0" u="none" strike="noStrike">
                <a:solidFill>
                  <a:srgbClr val="6372A4"/>
                </a:solidFill>
                <a:latin typeface="Aptos Narrow"/>
                <a:ea typeface="+mn-ea"/>
                <a:cs typeface="+mn-cs"/>
              </a:rPr>
              <a:pPr marL="0" indent="0" algn="ctr"/>
              <a:t>Dashboard</a:t>
            </a:fld>
            <a:endParaRPr lang="ru-RU" sz="1400" b="0" i="0" u="none" strike="noStrike">
              <a:solidFill>
                <a:srgbClr val="6372A4"/>
              </a:solidFill>
              <a:latin typeface="Aptos Narrow"/>
              <a:ea typeface="+mn-ea"/>
              <a:cs typeface="+mn-cs"/>
            </a:endParaRPr>
          </a:p>
        </xdr:txBody>
      </xdr:sp>
    </xdr:grpSp>
    <xdr:clientData/>
  </xdr:twoCellAnchor>
  <xdr:twoCellAnchor>
    <xdr:from>
      <xdr:col>14</xdr:col>
      <xdr:colOff>604780</xdr:colOff>
      <xdr:row>13</xdr:row>
      <xdr:rowOff>7620</xdr:rowOff>
    </xdr:from>
    <xdr:to>
      <xdr:col>16</xdr:col>
      <xdr:colOff>363532</xdr:colOff>
      <xdr:row>14</xdr:row>
      <xdr:rowOff>82906</xdr:rowOff>
    </xdr:to>
    <xdr:sp macro="" textlink="$C$60">
      <xdr:nvSpPr>
        <xdr:cNvPr id="13" name="TextBox 12">
          <a:extLst>
            <a:ext uri="{FF2B5EF4-FFF2-40B4-BE49-F238E27FC236}">
              <a16:creationId xmlns:a16="http://schemas.microsoft.com/office/drawing/2014/main" id="{F8EE7F73-3888-4CC3-B4F0-0952F5DC0840}"/>
            </a:ext>
          </a:extLst>
        </xdr:cNvPr>
        <xdr:cNvSpPr txBox="1"/>
      </xdr:nvSpPr>
      <xdr:spPr>
        <a:xfrm>
          <a:off x="9139180" y="2385060"/>
          <a:ext cx="977952"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A33B9D-F834-4294-BE87-29F6752F0B43}" type="TxLink">
            <a:rPr lang="en-US" sz="1200" b="0" i="0" u="none" strike="noStrike">
              <a:solidFill>
                <a:schemeClr val="tx2">
                  <a:lumMod val="25000"/>
                  <a:lumOff val="75000"/>
                </a:schemeClr>
              </a:solidFill>
              <a:latin typeface="Aptos Narrow"/>
            </a:rPr>
            <a:pPr algn="ctr"/>
            <a:t> </a:t>
          </a:fld>
          <a:endParaRPr lang="ru-RU" sz="1600" b="0">
            <a:solidFill>
              <a:schemeClr val="tx2">
                <a:lumMod val="25000"/>
                <a:lumOff val="75000"/>
              </a:schemeClr>
            </a:solidFill>
          </a:endParaRPr>
        </a:p>
      </xdr:txBody>
    </xdr:sp>
    <xdr:clientData/>
  </xdr:twoCellAnchor>
  <xdr:twoCellAnchor>
    <xdr:from>
      <xdr:col>14</xdr:col>
      <xdr:colOff>604780</xdr:colOff>
      <xdr:row>14</xdr:row>
      <xdr:rowOff>63292</xdr:rowOff>
    </xdr:from>
    <xdr:to>
      <xdr:col>16</xdr:col>
      <xdr:colOff>363532</xdr:colOff>
      <xdr:row>15</xdr:row>
      <xdr:rowOff>164395</xdr:rowOff>
    </xdr:to>
    <xdr:sp macro="" textlink="$D$55">
      <xdr:nvSpPr>
        <xdr:cNvPr id="14" name="TextBox 13">
          <a:extLst>
            <a:ext uri="{FF2B5EF4-FFF2-40B4-BE49-F238E27FC236}">
              <a16:creationId xmlns:a16="http://schemas.microsoft.com/office/drawing/2014/main" id="{7674197F-91A8-4418-B5A2-14D331B99D29}"/>
            </a:ext>
          </a:extLst>
        </xdr:cNvPr>
        <xdr:cNvSpPr txBox="1"/>
      </xdr:nvSpPr>
      <xdr:spPr>
        <a:xfrm>
          <a:off x="9139180" y="2623612"/>
          <a:ext cx="977952" cy="28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C2A362-1984-4E0F-B2F1-1722CB1B7A1B}" type="TxLink">
            <a:rPr lang="en-US" sz="2400" b="0" i="0" u="none" strike="noStrike">
              <a:solidFill>
                <a:schemeClr val="bg1"/>
              </a:solidFill>
              <a:latin typeface="Aptos Narrow"/>
            </a:rPr>
            <a:pPr algn="ctr"/>
            <a:t> </a:t>
          </a:fld>
          <a:endParaRPr lang="ru-RU" sz="2400" b="0">
            <a:solidFill>
              <a:schemeClr val="bg1"/>
            </a:solidFill>
          </a:endParaRPr>
        </a:p>
      </xdr:txBody>
    </xdr:sp>
    <xdr:clientData/>
  </xdr:twoCellAnchor>
  <xdr:twoCellAnchor>
    <xdr:from>
      <xdr:col>7</xdr:col>
      <xdr:colOff>332740</xdr:colOff>
      <xdr:row>20</xdr:row>
      <xdr:rowOff>124968</xdr:rowOff>
    </xdr:from>
    <xdr:to>
      <xdr:col>13</xdr:col>
      <xdr:colOff>434341</xdr:colOff>
      <xdr:row>34</xdr:row>
      <xdr:rowOff>45720</xdr:rowOff>
    </xdr:to>
    <xdr:graphicFrame macro="">
      <xdr:nvGraphicFramePr>
        <xdr:cNvPr id="15" name="Chart 14" hidden="1">
          <a:extLst>
            <a:ext uri="{FF2B5EF4-FFF2-40B4-BE49-F238E27FC236}">
              <a16:creationId xmlns:a16="http://schemas.microsoft.com/office/drawing/2014/main" id="{2DE0C987-AC4B-4BCC-83C7-52DED66D7A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392614</xdr:colOff>
      <xdr:row>25</xdr:row>
      <xdr:rowOff>63955</xdr:rowOff>
    </xdr:from>
    <xdr:to>
      <xdr:col>15</xdr:col>
      <xdr:colOff>404806</xdr:colOff>
      <xdr:row>29</xdr:row>
      <xdr:rowOff>127963</xdr:rowOff>
    </xdr:to>
    <xdr:sp macro="" textlink="$D$76">
      <xdr:nvSpPr>
        <xdr:cNvPr id="16" name="TextBox 15">
          <a:extLst>
            <a:ext uri="{FF2B5EF4-FFF2-40B4-BE49-F238E27FC236}">
              <a16:creationId xmlns:a16="http://schemas.microsoft.com/office/drawing/2014/main" id="{4A43FE88-1F03-4FAF-8147-1F3B31104239}"/>
            </a:ext>
          </a:extLst>
        </xdr:cNvPr>
        <xdr:cNvSpPr txBox="1"/>
      </xdr:nvSpPr>
      <xdr:spPr>
        <a:xfrm>
          <a:off x="8927014" y="4635955"/>
          <a:ext cx="621792" cy="795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1AC67DD-5614-4ED2-B1AD-9682E26BEFA2}" type="TxLink">
            <a:rPr lang="en-US" sz="800" b="0" i="0" u="none" strike="noStrike">
              <a:solidFill>
                <a:schemeClr val="tx2">
                  <a:lumMod val="25000"/>
                  <a:lumOff val="75000"/>
                </a:schemeClr>
              </a:solidFill>
              <a:latin typeface="Aptos Narrow"/>
            </a:rPr>
            <a:pPr algn="l"/>
            <a:t> </a:t>
          </a:fld>
          <a:endParaRPr lang="ru-RU" sz="800" b="0">
            <a:solidFill>
              <a:schemeClr val="tx2">
                <a:lumMod val="25000"/>
                <a:lumOff val="75000"/>
              </a:schemeClr>
            </a:solidFill>
          </a:endParaRPr>
        </a:p>
      </xdr:txBody>
    </xdr:sp>
    <xdr:clientData/>
  </xdr:twoCellAnchor>
  <xdr:twoCellAnchor>
    <xdr:from>
      <xdr:col>19</xdr:col>
      <xdr:colOff>34668</xdr:colOff>
      <xdr:row>22</xdr:row>
      <xdr:rowOff>147769</xdr:rowOff>
    </xdr:from>
    <xdr:to>
      <xdr:col>20</xdr:col>
      <xdr:colOff>447672</xdr:colOff>
      <xdr:row>24</xdr:row>
      <xdr:rowOff>40175</xdr:rowOff>
    </xdr:to>
    <xdr:sp macro="" textlink="$A$53">
      <xdr:nvSpPr>
        <xdr:cNvPr id="17" name="TextBox 16">
          <a:extLst>
            <a:ext uri="{FF2B5EF4-FFF2-40B4-BE49-F238E27FC236}">
              <a16:creationId xmlns:a16="http://schemas.microsoft.com/office/drawing/2014/main" id="{414BE0CB-447D-4E3A-A0F8-92415B682489}"/>
            </a:ext>
          </a:extLst>
        </xdr:cNvPr>
        <xdr:cNvSpPr txBox="1"/>
      </xdr:nvSpPr>
      <xdr:spPr>
        <a:xfrm>
          <a:off x="11617068" y="4171129"/>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1732DB7-45E1-47AD-8A64-12C1477C1F51}" type="TxLink">
            <a:rPr lang="en-US" sz="1400" b="0" i="0" u="none" strike="noStrike">
              <a:solidFill>
                <a:schemeClr val="tx2">
                  <a:lumMod val="25000"/>
                  <a:lumOff val="75000"/>
                </a:schemeClr>
              </a:solidFill>
              <a:latin typeface="Aptos Narrow"/>
            </a:rPr>
            <a:pPr algn="l"/>
            <a:t> </a:t>
          </a:fld>
          <a:endParaRPr lang="ru-RU" sz="2000">
            <a:solidFill>
              <a:schemeClr val="tx2">
                <a:lumMod val="25000"/>
                <a:lumOff val="75000"/>
              </a:schemeClr>
            </a:solidFill>
          </a:endParaRPr>
        </a:p>
      </xdr:txBody>
    </xdr:sp>
    <xdr:clientData/>
  </xdr:twoCellAnchor>
  <xdr:twoCellAnchor>
    <xdr:from>
      <xdr:col>19</xdr:col>
      <xdr:colOff>34668</xdr:colOff>
      <xdr:row>25</xdr:row>
      <xdr:rowOff>48666</xdr:rowOff>
    </xdr:from>
    <xdr:to>
      <xdr:col>20</xdr:col>
      <xdr:colOff>447672</xdr:colOff>
      <xdr:row>26</xdr:row>
      <xdr:rowOff>123952</xdr:rowOff>
    </xdr:to>
    <xdr:sp macro="" textlink="$A$54">
      <xdr:nvSpPr>
        <xdr:cNvPr id="18" name="TextBox 17">
          <a:extLst>
            <a:ext uri="{FF2B5EF4-FFF2-40B4-BE49-F238E27FC236}">
              <a16:creationId xmlns:a16="http://schemas.microsoft.com/office/drawing/2014/main" id="{AE7A94C8-B6F0-4443-88FC-D37EF2A8623E}"/>
            </a:ext>
          </a:extLst>
        </xdr:cNvPr>
        <xdr:cNvSpPr txBox="1"/>
      </xdr:nvSpPr>
      <xdr:spPr>
        <a:xfrm>
          <a:off x="11617068" y="4620666"/>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4132016-B00B-4926-87EE-A0F664231BBC}" type="TxLink">
            <a:rPr lang="en-US" sz="1400" b="0" i="0" u="none" strike="noStrike">
              <a:solidFill>
                <a:schemeClr val="tx2">
                  <a:lumMod val="25000"/>
                  <a:lumOff val="75000"/>
                </a:schemeClr>
              </a:solidFill>
              <a:latin typeface="Aptos Narrow"/>
            </a:rPr>
            <a:pPr algn="l"/>
            <a:t> </a:t>
          </a:fld>
          <a:endParaRPr lang="ru-RU" sz="1600">
            <a:solidFill>
              <a:schemeClr val="tx2">
                <a:lumMod val="25000"/>
                <a:lumOff val="75000"/>
              </a:schemeClr>
            </a:solidFill>
          </a:endParaRPr>
        </a:p>
      </xdr:txBody>
    </xdr:sp>
    <xdr:clientData/>
  </xdr:twoCellAnchor>
  <xdr:twoCellAnchor>
    <xdr:from>
      <xdr:col>19</xdr:col>
      <xdr:colOff>34668</xdr:colOff>
      <xdr:row>27</xdr:row>
      <xdr:rowOff>132443</xdr:rowOff>
    </xdr:from>
    <xdr:to>
      <xdr:col>20</xdr:col>
      <xdr:colOff>447672</xdr:colOff>
      <xdr:row>29</xdr:row>
      <xdr:rowOff>24849</xdr:rowOff>
    </xdr:to>
    <xdr:sp macro="" textlink="$A$55">
      <xdr:nvSpPr>
        <xdr:cNvPr id="19" name="TextBox 18">
          <a:extLst>
            <a:ext uri="{FF2B5EF4-FFF2-40B4-BE49-F238E27FC236}">
              <a16:creationId xmlns:a16="http://schemas.microsoft.com/office/drawing/2014/main" id="{796919C4-C860-46E9-8730-5E005E4D88FF}"/>
            </a:ext>
          </a:extLst>
        </xdr:cNvPr>
        <xdr:cNvSpPr txBox="1"/>
      </xdr:nvSpPr>
      <xdr:spPr>
        <a:xfrm>
          <a:off x="11617068" y="5070203"/>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800EC6F-4F9A-4655-982C-0D43CE89D16F}" type="TxLink">
            <a:rPr lang="en-US" sz="1400" b="0" i="0" u="none" strike="noStrike">
              <a:solidFill>
                <a:schemeClr val="tx2">
                  <a:lumMod val="25000"/>
                  <a:lumOff val="75000"/>
                </a:schemeClr>
              </a:solidFill>
              <a:latin typeface="Aptos Narrow"/>
            </a:rPr>
            <a:pPr algn="l"/>
            <a:t> </a:t>
          </a:fld>
          <a:endParaRPr lang="ru-RU" sz="2000">
            <a:solidFill>
              <a:schemeClr val="tx2">
                <a:lumMod val="25000"/>
                <a:lumOff val="75000"/>
              </a:schemeClr>
            </a:solidFill>
          </a:endParaRPr>
        </a:p>
      </xdr:txBody>
    </xdr:sp>
    <xdr:clientData/>
  </xdr:twoCellAnchor>
  <xdr:twoCellAnchor>
    <xdr:from>
      <xdr:col>19</xdr:col>
      <xdr:colOff>34668</xdr:colOff>
      <xdr:row>30</xdr:row>
      <xdr:rowOff>33340</xdr:rowOff>
    </xdr:from>
    <xdr:to>
      <xdr:col>20</xdr:col>
      <xdr:colOff>447672</xdr:colOff>
      <xdr:row>31</xdr:row>
      <xdr:rowOff>108626</xdr:rowOff>
    </xdr:to>
    <xdr:sp macro="" textlink="$A$56">
      <xdr:nvSpPr>
        <xdr:cNvPr id="20" name="TextBox 19">
          <a:extLst>
            <a:ext uri="{FF2B5EF4-FFF2-40B4-BE49-F238E27FC236}">
              <a16:creationId xmlns:a16="http://schemas.microsoft.com/office/drawing/2014/main" id="{E66CF262-AD09-45D2-BA93-82F2A8793B79}"/>
            </a:ext>
          </a:extLst>
        </xdr:cNvPr>
        <xdr:cNvSpPr txBox="1"/>
      </xdr:nvSpPr>
      <xdr:spPr>
        <a:xfrm>
          <a:off x="11617068" y="5519740"/>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8C18B09-F15C-49A8-BDC9-19B94F66EBF7}" type="TxLink">
            <a:rPr lang="en-US" sz="1400" b="0" i="0" u="none" strike="noStrike">
              <a:solidFill>
                <a:schemeClr val="tx2">
                  <a:lumMod val="25000"/>
                  <a:lumOff val="75000"/>
                </a:schemeClr>
              </a:solidFill>
              <a:latin typeface="Aptos Narrow"/>
              <a:ea typeface="+mn-ea"/>
              <a:cs typeface="+mn-cs"/>
            </a:rPr>
            <a:pPr marL="0" indent="0" algn="l"/>
            <a:t> </a:t>
          </a:fld>
          <a:endParaRPr lang="ru-RU" sz="1400" b="0" i="0" u="none" strike="noStrike">
            <a:solidFill>
              <a:schemeClr val="tx2">
                <a:lumMod val="25000"/>
                <a:lumOff val="75000"/>
              </a:schemeClr>
            </a:solidFill>
            <a:latin typeface="Aptos Narrow"/>
            <a:ea typeface="+mn-ea"/>
            <a:cs typeface="+mn-cs"/>
          </a:endParaRPr>
        </a:p>
      </xdr:txBody>
    </xdr:sp>
    <xdr:clientData/>
  </xdr:twoCellAnchor>
  <xdr:twoCellAnchor>
    <xdr:from>
      <xdr:col>20</xdr:col>
      <xdr:colOff>263268</xdr:colOff>
      <xdr:row>22</xdr:row>
      <xdr:rowOff>147769</xdr:rowOff>
    </xdr:from>
    <xdr:to>
      <xdr:col>22</xdr:col>
      <xdr:colOff>66672</xdr:colOff>
      <xdr:row>24</xdr:row>
      <xdr:rowOff>40175</xdr:rowOff>
    </xdr:to>
    <xdr:sp macro="" textlink="$B$53">
      <xdr:nvSpPr>
        <xdr:cNvPr id="21" name="TextBox 20">
          <a:extLst>
            <a:ext uri="{FF2B5EF4-FFF2-40B4-BE49-F238E27FC236}">
              <a16:creationId xmlns:a16="http://schemas.microsoft.com/office/drawing/2014/main" id="{DAAA2CE6-16D5-4E9C-9503-DA45634DED66}"/>
            </a:ext>
          </a:extLst>
        </xdr:cNvPr>
        <xdr:cNvSpPr txBox="1"/>
      </xdr:nvSpPr>
      <xdr:spPr>
        <a:xfrm>
          <a:off x="12455268" y="4171129"/>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E47465B1-4BE7-4C23-8B11-42192BF425CF}" type="TxLink">
            <a:rPr lang="en-US" sz="1400" b="0" i="0" u="none" strike="noStrike">
              <a:solidFill>
                <a:schemeClr val="tx2">
                  <a:lumMod val="25000"/>
                  <a:lumOff val="75000"/>
                </a:schemeClr>
              </a:solidFill>
              <a:latin typeface="Aptos Narrow"/>
            </a:rPr>
            <a:pPr algn="r"/>
            <a:t> </a:t>
          </a:fld>
          <a:endParaRPr lang="ru-RU" sz="2800">
            <a:solidFill>
              <a:schemeClr val="tx2">
                <a:lumMod val="25000"/>
                <a:lumOff val="75000"/>
              </a:schemeClr>
            </a:solidFill>
          </a:endParaRPr>
        </a:p>
      </xdr:txBody>
    </xdr:sp>
    <xdr:clientData/>
  </xdr:twoCellAnchor>
  <xdr:twoCellAnchor>
    <xdr:from>
      <xdr:col>20</xdr:col>
      <xdr:colOff>263268</xdr:colOff>
      <xdr:row>25</xdr:row>
      <xdr:rowOff>48666</xdr:rowOff>
    </xdr:from>
    <xdr:to>
      <xdr:col>22</xdr:col>
      <xdr:colOff>66672</xdr:colOff>
      <xdr:row>26</xdr:row>
      <xdr:rowOff>123952</xdr:rowOff>
    </xdr:to>
    <xdr:sp macro="" textlink="$B$54">
      <xdr:nvSpPr>
        <xdr:cNvPr id="22" name="TextBox 21">
          <a:extLst>
            <a:ext uri="{FF2B5EF4-FFF2-40B4-BE49-F238E27FC236}">
              <a16:creationId xmlns:a16="http://schemas.microsoft.com/office/drawing/2014/main" id="{B4AD6104-D998-4234-8375-D72186262351}"/>
            </a:ext>
          </a:extLst>
        </xdr:cNvPr>
        <xdr:cNvSpPr txBox="1"/>
      </xdr:nvSpPr>
      <xdr:spPr>
        <a:xfrm>
          <a:off x="12455268" y="4620666"/>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3204228-334F-480A-BAD4-3079A2B6170F}" type="TxLink">
            <a:rPr lang="en-US" sz="1400" b="0" i="0" u="none" strike="noStrike">
              <a:solidFill>
                <a:schemeClr val="tx2">
                  <a:lumMod val="25000"/>
                  <a:lumOff val="75000"/>
                </a:schemeClr>
              </a:solidFill>
              <a:latin typeface="Aptos Narrow"/>
            </a:rPr>
            <a:pPr algn="r"/>
            <a:t> </a:t>
          </a:fld>
          <a:endParaRPr lang="ru-RU" sz="2000">
            <a:solidFill>
              <a:schemeClr val="tx2">
                <a:lumMod val="25000"/>
                <a:lumOff val="75000"/>
              </a:schemeClr>
            </a:solidFill>
          </a:endParaRPr>
        </a:p>
      </xdr:txBody>
    </xdr:sp>
    <xdr:clientData/>
  </xdr:twoCellAnchor>
  <xdr:twoCellAnchor>
    <xdr:from>
      <xdr:col>20</xdr:col>
      <xdr:colOff>328582</xdr:colOff>
      <xdr:row>32</xdr:row>
      <xdr:rowOff>109539</xdr:rowOff>
    </xdr:from>
    <xdr:to>
      <xdr:col>22</xdr:col>
      <xdr:colOff>131986</xdr:colOff>
      <xdr:row>33</xdr:row>
      <xdr:rowOff>184825</xdr:rowOff>
    </xdr:to>
    <xdr:sp macro="" textlink="$B$56">
      <xdr:nvSpPr>
        <xdr:cNvPr id="24" name="TextBox 23">
          <a:extLst>
            <a:ext uri="{FF2B5EF4-FFF2-40B4-BE49-F238E27FC236}">
              <a16:creationId xmlns:a16="http://schemas.microsoft.com/office/drawing/2014/main" id="{01153912-331F-45B9-AC28-398E2C7F9A7D}"/>
            </a:ext>
          </a:extLst>
        </xdr:cNvPr>
        <xdr:cNvSpPr txBox="1"/>
      </xdr:nvSpPr>
      <xdr:spPr>
        <a:xfrm>
          <a:off x="12520582" y="5961699"/>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8F9D2ED-7794-4CAD-A140-112658E75D64}" type="TxLink">
            <a:rPr lang="en-US" sz="1400" b="0" i="0" u="none" strike="noStrike">
              <a:solidFill>
                <a:schemeClr val="tx2">
                  <a:lumMod val="25000"/>
                  <a:lumOff val="75000"/>
                </a:schemeClr>
              </a:solidFill>
              <a:latin typeface="Aptos Narrow"/>
              <a:ea typeface="+mn-ea"/>
              <a:cs typeface="+mn-cs"/>
            </a:rPr>
            <a:pPr marL="0" indent="0" algn="r"/>
            <a:t>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20</xdr:col>
      <xdr:colOff>263268</xdr:colOff>
      <xdr:row>32</xdr:row>
      <xdr:rowOff>117117</xdr:rowOff>
    </xdr:from>
    <xdr:to>
      <xdr:col>22</xdr:col>
      <xdr:colOff>66672</xdr:colOff>
      <xdr:row>34</xdr:row>
      <xdr:rowOff>9523</xdr:rowOff>
    </xdr:to>
    <xdr:sp macro="" textlink="$B$57">
      <xdr:nvSpPr>
        <xdr:cNvPr id="25" name="TextBox 24">
          <a:extLst>
            <a:ext uri="{FF2B5EF4-FFF2-40B4-BE49-F238E27FC236}">
              <a16:creationId xmlns:a16="http://schemas.microsoft.com/office/drawing/2014/main" id="{A0C898DB-3581-44A6-93F4-DBA58A265E45}"/>
            </a:ext>
          </a:extLst>
        </xdr:cNvPr>
        <xdr:cNvSpPr txBox="1"/>
      </xdr:nvSpPr>
      <xdr:spPr>
        <a:xfrm>
          <a:off x="12455268" y="596927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34374E5-FE8C-4C24-ABA4-7352FE20634F}" type="TxLink">
            <a:rPr lang="en-US" sz="1400" b="0" i="0" u="none" strike="noStrike">
              <a:solidFill>
                <a:schemeClr val="tx2">
                  <a:lumMod val="25000"/>
                  <a:lumOff val="75000"/>
                </a:schemeClr>
              </a:solidFill>
              <a:latin typeface="Aptos Narrow"/>
              <a:ea typeface="+mn-ea"/>
              <a:cs typeface="+mn-cs"/>
            </a:rPr>
            <a:pPr marL="0" indent="0" algn="r"/>
            <a:t>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2</xdr:col>
      <xdr:colOff>251460</xdr:colOff>
      <xdr:row>3</xdr:row>
      <xdr:rowOff>175260</xdr:rowOff>
    </xdr:from>
    <xdr:to>
      <xdr:col>4</xdr:col>
      <xdr:colOff>10212</xdr:colOff>
      <xdr:row>6</xdr:row>
      <xdr:rowOff>137160</xdr:rowOff>
    </xdr:to>
    <xdr:sp macro="" textlink="#REF!">
      <xdr:nvSpPr>
        <xdr:cNvPr id="26" name="TextBox 25">
          <a:extLst>
            <a:ext uri="{FF2B5EF4-FFF2-40B4-BE49-F238E27FC236}">
              <a16:creationId xmlns:a16="http://schemas.microsoft.com/office/drawing/2014/main" id="{1919B3AF-CA69-464D-96F8-43107F1F7903}"/>
            </a:ext>
          </a:extLst>
        </xdr:cNvPr>
        <xdr:cNvSpPr txBox="1"/>
      </xdr:nvSpPr>
      <xdr:spPr>
        <a:xfrm>
          <a:off x="1470660" y="723900"/>
          <a:ext cx="977952" cy="510540"/>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chemeClr val="tx2">
                  <a:lumMod val="10000"/>
                  <a:lumOff val="90000"/>
                </a:schemeClr>
              </a:solidFill>
              <a:latin typeface="Aptos Narrow"/>
              <a:ea typeface="+mn-ea"/>
              <a:cs typeface="+mn-cs"/>
            </a:rPr>
            <a:t>Macro Economics</a:t>
          </a:r>
          <a:endParaRPr lang="ru-RU" sz="1200" b="0" i="0" u="none" strike="noStrike">
            <a:solidFill>
              <a:schemeClr val="tx2">
                <a:lumMod val="10000"/>
                <a:lumOff val="90000"/>
              </a:schemeClr>
            </a:solidFill>
            <a:latin typeface="Aptos Narrow"/>
            <a:ea typeface="+mn-ea"/>
            <a:cs typeface="+mn-cs"/>
          </a:endParaRPr>
        </a:p>
      </xdr:txBody>
    </xdr:sp>
    <xdr:clientData/>
  </xdr:twoCellAnchor>
  <xdr:twoCellAnchor>
    <xdr:from>
      <xdr:col>2</xdr:col>
      <xdr:colOff>266700</xdr:colOff>
      <xdr:row>4</xdr:row>
      <xdr:rowOff>64770</xdr:rowOff>
    </xdr:from>
    <xdr:to>
      <xdr:col>2</xdr:col>
      <xdr:colOff>266700</xdr:colOff>
      <xdr:row>6</xdr:row>
      <xdr:rowOff>64770</xdr:rowOff>
    </xdr:to>
    <xdr:cxnSp macro="">
      <xdr:nvCxnSpPr>
        <xdr:cNvPr id="27" name="Straight Connector 26">
          <a:extLst>
            <a:ext uri="{FF2B5EF4-FFF2-40B4-BE49-F238E27FC236}">
              <a16:creationId xmlns:a16="http://schemas.microsoft.com/office/drawing/2014/main" id="{A9E64500-A913-486C-BA80-E6C037F56D5F}"/>
            </a:ext>
          </a:extLst>
        </xdr:cNvPr>
        <xdr:cNvCxnSpPr/>
      </xdr:nvCxnSpPr>
      <xdr:spPr>
        <a:xfrm>
          <a:off x="1485900" y="796290"/>
          <a:ext cx="0" cy="365760"/>
        </a:xfrm>
        <a:prstGeom prst="line">
          <a:avLst/>
        </a:prstGeom>
        <a:ln w="9525">
          <a:solidFill>
            <a:schemeClr val="tx2">
              <a:lumMod val="25000"/>
              <a:lumOff val="75000"/>
            </a:schemeClr>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xdr:col>
      <xdr:colOff>385482</xdr:colOff>
      <xdr:row>4</xdr:row>
      <xdr:rowOff>116542</xdr:rowOff>
    </xdr:from>
    <xdr:to>
      <xdr:col>2</xdr:col>
      <xdr:colOff>215153</xdr:colOff>
      <xdr:row>6</xdr:row>
      <xdr:rowOff>18932</xdr:rowOff>
    </xdr:to>
    <xdr:pic>
      <xdr:nvPicPr>
        <xdr:cNvPr id="28" name="Picture 27">
          <a:extLst>
            <a:ext uri="{FF2B5EF4-FFF2-40B4-BE49-F238E27FC236}">
              <a16:creationId xmlns:a16="http://schemas.microsoft.com/office/drawing/2014/main" id="{740D5ED0-481D-4920-AA16-3689FD076631}"/>
            </a:ext>
          </a:extLst>
        </xdr:cNvPr>
        <xdr:cNvPicPr>
          <a:picLocks noChangeAspect="1"/>
        </xdr:cNvPicPr>
      </xdr:nvPicPr>
      <xdr:blipFill>
        <a:blip xmlns:r="http://schemas.openxmlformats.org/officeDocument/2006/relationships" r:embed="rId5"/>
        <a:stretch>
          <a:fillRect/>
        </a:stretch>
      </xdr:blipFill>
      <xdr:spPr>
        <a:xfrm>
          <a:off x="995082" y="848062"/>
          <a:ext cx="439271" cy="268150"/>
        </a:xfrm>
        <a:prstGeom prst="rect">
          <a:avLst/>
        </a:prstGeom>
      </xdr:spPr>
    </xdr:pic>
    <xdr:clientData/>
  </xdr:twoCellAnchor>
  <xdr:twoCellAnchor>
    <xdr:from>
      <xdr:col>1</xdr:col>
      <xdr:colOff>514296</xdr:colOff>
      <xdr:row>12</xdr:row>
      <xdr:rowOff>31339</xdr:rowOff>
    </xdr:from>
    <xdr:to>
      <xdr:col>3</xdr:col>
      <xdr:colOff>419960</xdr:colOff>
      <xdr:row>16</xdr:row>
      <xdr:rowOff>5418</xdr:rowOff>
    </xdr:to>
    <xdr:grpSp>
      <xdr:nvGrpSpPr>
        <xdr:cNvPr id="29" name="Group 28">
          <a:hlinkClick xmlns:r="http://schemas.openxmlformats.org/officeDocument/2006/relationships" r:id="rId6"/>
          <a:extLst>
            <a:ext uri="{FF2B5EF4-FFF2-40B4-BE49-F238E27FC236}">
              <a16:creationId xmlns:a16="http://schemas.microsoft.com/office/drawing/2014/main" id="{9500F205-722E-4324-990F-79012AAC701B}"/>
            </a:ext>
          </a:extLst>
        </xdr:cNvPr>
        <xdr:cNvGrpSpPr/>
      </xdr:nvGrpSpPr>
      <xdr:grpSpPr>
        <a:xfrm>
          <a:off x="1123896" y="2203039"/>
          <a:ext cx="1124864" cy="697979"/>
          <a:chOff x="1123896" y="2225899"/>
          <a:chExt cx="1124864" cy="705599"/>
        </a:xfrm>
        <a:effectLst/>
      </xdr:grpSpPr>
      <xdr:sp macro="" textlink="#REF!">
        <xdr:nvSpPr>
          <xdr:cNvPr id="30" name="TextBox 29">
            <a:extLst>
              <a:ext uri="{FF2B5EF4-FFF2-40B4-BE49-F238E27FC236}">
                <a16:creationId xmlns:a16="http://schemas.microsoft.com/office/drawing/2014/main" id="{363ADCAB-3BF6-8BA3-59F8-EAE142718B66}"/>
              </a:ext>
            </a:extLst>
          </xdr:cNvPr>
          <xdr:cNvSpPr txBox="1"/>
        </xdr:nvSpPr>
        <xdr:spPr>
          <a:xfrm>
            <a:off x="1123896" y="2675982"/>
            <a:ext cx="1124864" cy="255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Real Sector</a:t>
            </a:r>
          </a:p>
        </xdr:txBody>
      </xdr:sp>
      <xdr:pic>
        <xdr:nvPicPr>
          <xdr:cNvPr id="31" name="Graphic 30" descr="Factory outline">
            <a:extLst>
              <a:ext uri="{FF2B5EF4-FFF2-40B4-BE49-F238E27FC236}">
                <a16:creationId xmlns:a16="http://schemas.microsoft.com/office/drawing/2014/main" id="{D5AC7967-2CF8-746B-32A4-02651E49717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421216" y="2225899"/>
            <a:ext cx="527019" cy="535332"/>
          </a:xfrm>
          <a:prstGeom prst="rect">
            <a:avLst/>
          </a:prstGeom>
          <a:effectLst/>
        </xdr:spPr>
      </xdr:pic>
    </xdr:grpSp>
    <xdr:clientData/>
  </xdr:twoCellAnchor>
  <xdr:twoCellAnchor>
    <xdr:from>
      <xdr:col>1</xdr:col>
      <xdr:colOff>493513</xdr:colOff>
      <xdr:row>16</xdr:row>
      <xdr:rowOff>44807</xdr:rowOff>
    </xdr:from>
    <xdr:to>
      <xdr:col>3</xdr:col>
      <xdr:colOff>399177</xdr:colOff>
      <xdr:row>20</xdr:row>
      <xdr:rowOff>10031</xdr:rowOff>
    </xdr:to>
    <xdr:grpSp>
      <xdr:nvGrpSpPr>
        <xdr:cNvPr id="32" name="Group 31">
          <a:hlinkClick xmlns:r="http://schemas.openxmlformats.org/officeDocument/2006/relationships" r:id="rId9"/>
          <a:extLst>
            <a:ext uri="{FF2B5EF4-FFF2-40B4-BE49-F238E27FC236}">
              <a16:creationId xmlns:a16="http://schemas.microsoft.com/office/drawing/2014/main" id="{C6B27D47-7C9D-4C50-9C9E-2FD56D49CD91}"/>
            </a:ext>
          </a:extLst>
        </xdr:cNvPr>
        <xdr:cNvGrpSpPr/>
      </xdr:nvGrpSpPr>
      <xdr:grpSpPr>
        <a:xfrm>
          <a:off x="1103113" y="2940407"/>
          <a:ext cx="1124864" cy="689124"/>
          <a:chOff x="1103113" y="2970887"/>
          <a:chExt cx="1124864" cy="696744"/>
        </a:xfrm>
      </xdr:grpSpPr>
      <xdr:pic>
        <xdr:nvPicPr>
          <xdr:cNvPr id="33" name="Graphic 32" descr="Bank outline">
            <a:extLst>
              <a:ext uri="{FF2B5EF4-FFF2-40B4-BE49-F238E27FC236}">
                <a16:creationId xmlns:a16="http://schemas.microsoft.com/office/drawing/2014/main" id="{05F285A3-2641-AAC8-4D19-70481D14475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401163" y="2970887"/>
            <a:ext cx="535254" cy="538929"/>
          </a:xfrm>
          <a:prstGeom prst="rect">
            <a:avLst/>
          </a:prstGeom>
          <a:effectLst>
            <a:glow rad="101600">
              <a:srgbClr val="0575F1">
                <a:alpha val="40000"/>
              </a:srgbClr>
            </a:glow>
          </a:effectLst>
        </xdr:spPr>
      </xdr:pic>
      <xdr:sp macro="" textlink="#REF!">
        <xdr:nvSpPr>
          <xdr:cNvPr id="34" name="TextBox 33">
            <a:extLst>
              <a:ext uri="{FF2B5EF4-FFF2-40B4-BE49-F238E27FC236}">
                <a16:creationId xmlns:a16="http://schemas.microsoft.com/office/drawing/2014/main" id="{EBE96741-B429-0492-047B-6C09BC81743F}"/>
              </a:ext>
            </a:extLst>
          </xdr:cNvPr>
          <xdr:cNvSpPr txBox="1"/>
        </xdr:nvSpPr>
        <xdr:spPr>
          <a:xfrm>
            <a:off x="1103113" y="3411300"/>
            <a:ext cx="1124864" cy="256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chemeClr val="bg1"/>
                </a:solidFill>
                <a:latin typeface="Aptos Narrow"/>
                <a:ea typeface="+mn-ea"/>
                <a:cs typeface="+mn-cs"/>
              </a:rPr>
              <a:t>Monetary</a:t>
            </a:r>
          </a:p>
        </xdr:txBody>
      </xdr:sp>
    </xdr:grpSp>
    <xdr:clientData/>
  </xdr:twoCellAnchor>
  <xdr:twoCellAnchor>
    <xdr:from>
      <xdr:col>1</xdr:col>
      <xdr:colOff>493514</xdr:colOff>
      <xdr:row>20</xdr:row>
      <xdr:rowOff>46105</xdr:rowOff>
    </xdr:from>
    <xdr:to>
      <xdr:col>3</xdr:col>
      <xdr:colOff>399178</xdr:colOff>
      <xdr:row>24</xdr:row>
      <xdr:rowOff>14643</xdr:rowOff>
    </xdr:to>
    <xdr:grpSp>
      <xdr:nvGrpSpPr>
        <xdr:cNvPr id="35" name="Group 34">
          <a:hlinkClick xmlns:r="http://schemas.openxmlformats.org/officeDocument/2006/relationships" r:id="rId12"/>
          <a:extLst>
            <a:ext uri="{FF2B5EF4-FFF2-40B4-BE49-F238E27FC236}">
              <a16:creationId xmlns:a16="http://schemas.microsoft.com/office/drawing/2014/main" id="{6BB419C7-3F31-4DE8-9FF6-140EC6181FE3}"/>
            </a:ext>
          </a:extLst>
        </xdr:cNvPr>
        <xdr:cNvGrpSpPr/>
      </xdr:nvGrpSpPr>
      <xdr:grpSpPr>
        <a:xfrm>
          <a:off x="1103114" y="3665605"/>
          <a:ext cx="1124864" cy="692438"/>
          <a:chOff x="1103114" y="3703705"/>
          <a:chExt cx="1124864" cy="700058"/>
        </a:xfrm>
      </xdr:grpSpPr>
      <xdr:pic>
        <xdr:nvPicPr>
          <xdr:cNvPr id="36" name="Graphic 35" descr="Upward trend with solid fill">
            <a:extLst>
              <a:ext uri="{FF2B5EF4-FFF2-40B4-BE49-F238E27FC236}">
                <a16:creationId xmlns:a16="http://schemas.microsoft.com/office/drawing/2014/main" id="{1A3D65A8-DFAE-D450-D45C-1885949B0C8E}"/>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404870" y="3703705"/>
            <a:ext cx="537654" cy="545967"/>
          </a:xfrm>
          <a:prstGeom prst="rect">
            <a:avLst/>
          </a:prstGeom>
        </xdr:spPr>
      </xdr:pic>
      <xdr:sp macro="" textlink="#REF!">
        <xdr:nvSpPr>
          <xdr:cNvPr id="37" name="TextBox 36">
            <a:extLst>
              <a:ext uri="{FF2B5EF4-FFF2-40B4-BE49-F238E27FC236}">
                <a16:creationId xmlns:a16="http://schemas.microsoft.com/office/drawing/2014/main" id="{3E7F1B7D-DC22-8325-40F7-57A7B5378A21}"/>
              </a:ext>
            </a:extLst>
          </xdr:cNvPr>
          <xdr:cNvSpPr txBox="1"/>
        </xdr:nvSpPr>
        <xdr:spPr>
          <a:xfrm>
            <a:off x="1103114" y="4147432"/>
            <a:ext cx="1124864" cy="256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Inflation</a:t>
            </a:r>
          </a:p>
        </xdr:txBody>
      </xdr:sp>
    </xdr:grpSp>
    <xdr:clientData/>
  </xdr:twoCellAnchor>
  <xdr:twoCellAnchor>
    <xdr:from>
      <xdr:col>1</xdr:col>
      <xdr:colOff>521223</xdr:colOff>
      <xdr:row>24</xdr:row>
      <xdr:rowOff>33423</xdr:rowOff>
    </xdr:from>
    <xdr:to>
      <xdr:col>3</xdr:col>
      <xdr:colOff>426887</xdr:colOff>
      <xdr:row>28</xdr:row>
      <xdr:rowOff>19256</xdr:rowOff>
    </xdr:to>
    <xdr:grpSp>
      <xdr:nvGrpSpPr>
        <xdr:cNvPr id="38" name="Group 37">
          <a:hlinkClick xmlns:r="http://schemas.openxmlformats.org/officeDocument/2006/relationships" r:id="rId15"/>
          <a:extLst>
            <a:ext uri="{FF2B5EF4-FFF2-40B4-BE49-F238E27FC236}">
              <a16:creationId xmlns:a16="http://schemas.microsoft.com/office/drawing/2014/main" id="{C418581B-94A0-483A-A344-1E519B6BCE99}"/>
            </a:ext>
          </a:extLst>
        </xdr:cNvPr>
        <xdr:cNvGrpSpPr/>
      </xdr:nvGrpSpPr>
      <xdr:grpSpPr>
        <a:xfrm>
          <a:off x="1130823" y="4376823"/>
          <a:ext cx="1124864" cy="709733"/>
          <a:chOff x="1130823" y="4422543"/>
          <a:chExt cx="1124864" cy="717353"/>
        </a:xfrm>
      </xdr:grpSpPr>
      <xdr:pic>
        <xdr:nvPicPr>
          <xdr:cNvPr id="39" name="Graphic 38" descr="Construction worker male outline">
            <a:extLst>
              <a:ext uri="{FF2B5EF4-FFF2-40B4-BE49-F238E27FC236}">
                <a16:creationId xmlns:a16="http://schemas.microsoft.com/office/drawing/2014/main" id="{12DDE615-30F3-406B-6070-573F8724335B}"/>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423402" y="4422543"/>
            <a:ext cx="540054" cy="548367"/>
          </a:xfrm>
          <a:prstGeom prst="rect">
            <a:avLst/>
          </a:prstGeom>
        </xdr:spPr>
      </xdr:pic>
      <xdr:sp macro="" textlink="#REF!">
        <xdr:nvSpPr>
          <xdr:cNvPr id="40" name="TextBox 39">
            <a:extLst>
              <a:ext uri="{FF2B5EF4-FFF2-40B4-BE49-F238E27FC236}">
                <a16:creationId xmlns:a16="http://schemas.microsoft.com/office/drawing/2014/main" id="{2D89DB24-2423-FE38-294B-D3F39907BB2C}"/>
              </a:ext>
            </a:extLst>
          </xdr:cNvPr>
          <xdr:cNvSpPr txBox="1"/>
        </xdr:nvSpPr>
        <xdr:spPr>
          <a:xfrm>
            <a:off x="1130823" y="4883565"/>
            <a:ext cx="1124864" cy="256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Labour</a:t>
            </a:r>
          </a:p>
        </xdr:txBody>
      </xdr:sp>
    </xdr:grpSp>
    <xdr:clientData/>
  </xdr:twoCellAnchor>
  <xdr:twoCellAnchor>
    <xdr:from>
      <xdr:col>1</xdr:col>
      <xdr:colOff>514296</xdr:colOff>
      <xdr:row>28</xdr:row>
      <xdr:rowOff>41325</xdr:rowOff>
    </xdr:from>
    <xdr:to>
      <xdr:col>3</xdr:col>
      <xdr:colOff>419960</xdr:colOff>
      <xdr:row>32</xdr:row>
      <xdr:rowOff>23868</xdr:rowOff>
    </xdr:to>
    <xdr:grpSp>
      <xdr:nvGrpSpPr>
        <xdr:cNvPr id="41" name="Group 40">
          <a:hlinkClick xmlns:r="http://schemas.openxmlformats.org/officeDocument/2006/relationships" r:id="rId18"/>
          <a:extLst>
            <a:ext uri="{FF2B5EF4-FFF2-40B4-BE49-F238E27FC236}">
              <a16:creationId xmlns:a16="http://schemas.microsoft.com/office/drawing/2014/main" id="{331737A8-0D08-43BE-A4C8-F2E1D724C380}"/>
            </a:ext>
          </a:extLst>
        </xdr:cNvPr>
        <xdr:cNvGrpSpPr/>
      </xdr:nvGrpSpPr>
      <xdr:grpSpPr>
        <a:xfrm>
          <a:off x="1123896" y="5108625"/>
          <a:ext cx="1124864" cy="706443"/>
          <a:chOff x="1123896" y="5161965"/>
          <a:chExt cx="1124864" cy="714063"/>
        </a:xfrm>
      </xdr:grpSpPr>
      <xdr:pic>
        <xdr:nvPicPr>
          <xdr:cNvPr id="42" name="Graphic 41" descr="Miscellaneous outline">
            <a:extLst>
              <a:ext uri="{FF2B5EF4-FFF2-40B4-BE49-F238E27FC236}">
                <a16:creationId xmlns:a16="http://schemas.microsoft.com/office/drawing/2014/main" id="{DDD58D35-3402-346B-FBCA-AAA1CDFA2C6C}"/>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391164" y="5161965"/>
            <a:ext cx="616527" cy="624839"/>
          </a:xfrm>
          <a:prstGeom prst="rect">
            <a:avLst/>
          </a:prstGeom>
        </xdr:spPr>
      </xdr:pic>
      <xdr:sp macro="" textlink="#REF!">
        <xdr:nvSpPr>
          <xdr:cNvPr id="43" name="TextBox 42">
            <a:extLst>
              <a:ext uri="{FF2B5EF4-FFF2-40B4-BE49-F238E27FC236}">
                <a16:creationId xmlns:a16="http://schemas.microsoft.com/office/drawing/2014/main" id="{2B21CCCD-9210-408A-EBB7-F9CA1D4F6631}"/>
              </a:ext>
            </a:extLst>
          </xdr:cNvPr>
          <xdr:cNvSpPr txBox="1"/>
        </xdr:nvSpPr>
        <xdr:spPr>
          <a:xfrm>
            <a:off x="1123896" y="5619697"/>
            <a:ext cx="1124864" cy="256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External</a:t>
            </a:r>
          </a:p>
        </xdr:txBody>
      </xdr:sp>
    </xdr:grpSp>
    <xdr:clientData/>
  </xdr:twoCellAnchor>
  <xdr:twoCellAnchor>
    <xdr:from>
      <xdr:col>1</xdr:col>
      <xdr:colOff>521224</xdr:colOff>
      <xdr:row>31</xdr:row>
      <xdr:rowOff>149881</xdr:rowOff>
    </xdr:from>
    <xdr:to>
      <xdr:col>3</xdr:col>
      <xdr:colOff>426888</xdr:colOff>
      <xdr:row>36</xdr:row>
      <xdr:rowOff>28481</xdr:rowOff>
    </xdr:to>
    <xdr:grpSp>
      <xdr:nvGrpSpPr>
        <xdr:cNvPr id="44" name="Group 43">
          <a:hlinkClick xmlns:r="http://schemas.openxmlformats.org/officeDocument/2006/relationships" r:id="rId21"/>
          <a:extLst>
            <a:ext uri="{FF2B5EF4-FFF2-40B4-BE49-F238E27FC236}">
              <a16:creationId xmlns:a16="http://schemas.microsoft.com/office/drawing/2014/main" id="{F4E6C973-65B2-41D9-9970-6F1C5710161F}"/>
            </a:ext>
          </a:extLst>
        </xdr:cNvPr>
        <xdr:cNvGrpSpPr/>
      </xdr:nvGrpSpPr>
      <xdr:grpSpPr>
        <a:xfrm>
          <a:off x="1130824" y="5760106"/>
          <a:ext cx="1124864" cy="783475"/>
          <a:chOff x="1130824" y="5819161"/>
          <a:chExt cx="1124864" cy="793000"/>
        </a:xfrm>
      </xdr:grpSpPr>
      <xdr:pic>
        <xdr:nvPicPr>
          <xdr:cNvPr id="45" name="Graphic 44" descr="Scales of justice outline">
            <a:extLst>
              <a:ext uri="{FF2B5EF4-FFF2-40B4-BE49-F238E27FC236}">
                <a16:creationId xmlns:a16="http://schemas.microsoft.com/office/drawing/2014/main" id="{679EABD9-8A84-5D4E-200B-E28B3C0601C6}"/>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410764" y="5819161"/>
            <a:ext cx="586418" cy="598317"/>
          </a:xfrm>
          <a:prstGeom prst="rect">
            <a:avLst/>
          </a:prstGeom>
        </xdr:spPr>
      </xdr:pic>
      <xdr:sp macro="" textlink="#REF!">
        <xdr:nvSpPr>
          <xdr:cNvPr id="46" name="TextBox 45">
            <a:extLst>
              <a:ext uri="{FF2B5EF4-FFF2-40B4-BE49-F238E27FC236}">
                <a16:creationId xmlns:a16="http://schemas.microsoft.com/office/drawing/2014/main" id="{8EC12409-2D19-7DFA-8265-5D34DD9B5A5A}"/>
              </a:ext>
            </a:extLst>
          </xdr:cNvPr>
          <xdr:cNvSpPr txBox="1"/>
        </xdr:nvSpPr>
        <xdr:spPr>
          <a:xfrm>
            <a:off x="1130824" y="6355830"/>
            <a:ext cx="1124864" cy="256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Fiscal</a:t>
            </a:r>
          </a:p>
        </xdr:txBody>
      </xdr:sp>
    </xdr:grpSp>
    <xdr:clientData/>
  </xdr:twoCellAnchor>
  <xdr:twoCellAnchor>
    <xdr:from>
      <xdr:col>1</xdr:col>
      <xdr:colOff>521224</xdr:colOff>
      <xdr:row>36</xdr:row>
      <xdr:rowOff>57807</xdr:rowOff>
    </xdr:from>
    <xdr:to>
      <xdr:col>3</xdr:col>
      <xdr:colOff>426888</xdr:colOff>
      <xdr:row>40</xdr:row>
      <xdr:rowOff>29510</xdr:rowOff>
    </xdr:to>
    <xdr:grpSp>
      <xdr:nvGrpSpPr>
        <xdr:cNvPr id="47" name="Group 46">
          <a:hlinkClick xmlns:r="http://schemas.openxmlformats.org/officeDocument/2006/relationships" r:id="rId24"/>
          <a:extLst>
            <a:ext uri="{FF2B5EF4-FFF2-40B4-BE49-F238E27FC236}">
              <a16:creationId xmlns:a16="http://schemas.microsoft.com/office/drawing/2014/main" id="{65C5C50C-8BAA-484A-9C97-1BD6829DF77B}"/>
            </a:ext>
          </a:extLst>
        </xdr:cNvPr>
        <xdr:cNvGrpSpPr/>
      </xdr:nvGrpSpPr>
      <xdr:grpSpPr>
        <a:xfrm>
          <a:off x="1130824" y="6572907"/>
          <a:ext cx="1124864" cy="695603"/>
          <a:chOff x="1130824" y="6641487"/>
          <a:chExt cx="1124864" cy="703223"/>
        </a:xfrm>
      </xdr:grpSpPr>
      <xdr:pic>
        <xdr:nvPicPr>
          <xdr:cNvPr id="48" name="Graphic 47" descr="Closed book outline">
            <a:extLst>
              <a:ext uri="{FF2B5EF4-FFF2-40B4-BE49-F238E27FC236}">
                <a16:creationId xmlns:a16="http://schemas.microsoft.com/office/drawing/2014/main" id="{6E01683C-2399-1128-C3EE-E006B8EF628A}"/>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1417845" y="6641487"/>
            <a:ext cx="508802" cy="516057"/>
          </a:xfrm>
          <a:prstGeom prst="rect">
            <a:avLst/>
          </a:prstGeom>
        </xdr:spPr>
      </xdr:pic>
      <xdr:sp macro="" textlink="#REF!">
        <xdr:nvSpPr>
          <xdr:cNvPr id="49" name="TextBox 48">
            <a:extLst>
              <a:ext uri="{FF2B5EF4-FFF2-40B4-BE49-F238E27FC236}">
                <a16:creationId xmlns:a16="http://schemas.microsoft.com/office/drawing/2014/main" id="{FCBA93BE-9E2B-8334-728F-2003A9312E9B}"/>
              </a:ext>
            </a:extLst>
          </xdr:cNvPr>
          <xdr:cNvSpPr txBox="1"/>
        </xdr:nvSpPr>
        <xdr:spPr>
          <a:xfrm>
            <a:off x="1130824" y="7091965"/>
            <a:ext cx="1124864" cy="252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Summary</a:t>
            </a:r>
          </a:p>
        </xdr:txBody>
      </xdr:sp>
    </xdr:grpSp>
    <xdr:clientData/>
  </xdr:twoCellAnchor>
  <xdr:twoCellAnchor editAs="oneCell">
    <xdr:from>
      <xdr:col>4</xdr:col>
      <xdr:colOff>233079</xdr:colOff>
      <xdr:row>4</xdr:row>
      <xdr:rowOff>144781</xdr:rowOff>
    </xdr:from>
    <xdr:to>
      <xdr:col>22</xdr:col>
      <xdr:colOff>17928</xdr:colOff>
      <xdr:row>11</xdr:row>
      <xdr:rowOff>17929</xdr:rowOff>
    </xdr:to>
    <mc:AlternateContent xmlns:mc="http://schemas.openxmlformats.org/markup-compatibility/2006" xmlns:a14="http://schemas.microsoft.com/office/drawing/2010/main">
      <mc:Choice Requires="a14">
        <xdr:graphicFrame macro="">
          <xdr:nvGraphicFramePr>
            <xdr:cNvPr id="55" name="Year 2">
              <a:extLst>
                <a:ext uri="{FF2B5EF4-FFF2-40B4-BE49-F238E27FC236}">
                  <a16:creationId xmlns:a16="http://schemas.microsoft.com/office/drawing/2014/main" id="{F00255CE-2B7E-4856-91E1-4903AB144E55}"/>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2671479" y="868681"/>
              <a:ext cx="10757649" cy="11399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134916</xdr:colOff>
      <xdr:row>31</xdr:row>
      <xdr:rowOff>94868</xdr:rowOff>
    </xdr:from>
    <xdr:to>
      <xdr:col>22</xdr:col>
      <xdr:colOff>219075</xdr:colOff>
      <xdr:row>42</xdr:row>
      <xdr:rowOff>28574</xdr:rowOff>
    </xdr:to>
    <xdr:sp macro="" textlink="">
      <xdr:nvSpPr>
        <xdr:cNvPr id="58" name="Rectangle: Rounded Corners 57">
          <a:extLst>
            <a:ext uri="{FF2B5EF4-FFF2-40B4-BE49-F238E27FC236}">
              <a16:creationId xmlns:a16="http://schemas.microsoft.com/office/drawing/2014/main" id="{B3D5324B-D585-0501-70B4-A81EB8BA6A86}"/>
            </a:ext>
          </a:extLst>
        </xdr:cNvPr>
        <xdr:cNvSpPr/>
      </xdr:nvSpPr>
      <xdr:spPr>
        <a:xfrm>
          <a:off x="2573316" y="5705093"/>
          <a:ext cx="11056959" cy="1924431"/>
        </a:xfrm>
        <a:prstGeom prst="roundRect">
          <a:avLst>
            <a:gd name="adj" fmla="val 15574"/>
          </a:avLst>
        </a:prstGeom>
        <a:gradFill>
          <a:gsLst>
            <a:gs pos="0">
              <a:srgbClr val="202356"/>
            </a:gs>
            <a:gs pos="40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314325</xdr:colOff>
      <xdr:row>14</xdr:row>
      <xdr:rowOff>0</xdr:rowOff>
    </xdr:from>
    <xdr:to>
      <xdr:col>13</xdr:col>
      <xdr:colOff>200025</xdr:colOff>
      <xdr:row>30</xdr:row>
      <xdr:rowOff>133350</xdr:rowOff>
    </xdr:to>
    <xdr:graphicFrame macro="">
      <xdr:nvGraphicFramePr>
        <xdr:cNvPr id="68" name="Chart 67">
          <a:extLst>
            <a:ext uri="{FF2B5EF4-FFF2-40B4-BE49-F238E27FC236}">
              <a16:creationId xmlns:a16="http://schemas.microsoft.com/office/drawing/2014/main" id="{7EDAFF7E-B716-4A03-9CF9-C2BDD8DB50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13</xdr:col>
      <xdr:colOff>436993</xdr:colOff>
      <xdr:row>13</xdr:row>
      <xdr:rowOff>22088</xdr:rowOff>
    </xdr:from>
    <xdr:to>
      <xdr:col>22</xdr:col>
      <xdr:colOff>238125</xdr:colOff>
      <xdr:row>30</xdr:row>
      <xdr:rowOff>171451</xdr:rowOff>
    </xdr:to>
    <xdr:grpSp>
      <xdr:nvGrpSpPr>
        <xdr:cNvPr id="53" name="Group 52">
          <a:extLst>
            <a:ext uri="{FF2B5EF4-FFF2-40B4-BE49-F238E27FC236}">
              <a16:creationId xmlns:a16="http://schemas.microsoft.com/office/drawing/2014/main" id="{662A8293-526A-E9B6-9900-A2FF5E0ED865}"/>
            </a:ext>
          </a:extLst>
        </xdr:cNvPr>
        <xdr:cNvGrpSpPr/>
      </xdr:nvGrpSpPr>
      <xdr:grpSpPr>
        <a:xfrm>
          <a:off x="8361793" y="2374763"/>
          <a:ext cx="5287532" cy="3225938"/>
          <a:chOff x="8295118" y="2365238"/>
          <a:chExt cx="5287532" cy="3225938"/>
        </a:xfrm>
      </xdr:grpSpPr>
      <xdr:sp macro="" textlink="">
        <xdr:nvSpPr>
          <xdr:cNvPr id="50" name="Rectangle: Rounded Corners 49">
            <a:extLst>
              <a:ext uri="{FF2B5EF4-FFF2-40B4-BE49-F238E27FC236}">
                <a16:creationId xmlns:a16="http://schemas.microsoft.com/office/drawing/2014/main" id="{B82E065B-F908-95AD-F20C-0E95834F5559}"/>
              </a:ext>
            </a:extLst>
          </xdr:cNvPr>
          <xdr:cNvSpPr/>
        </xdr:nvSpPr>
        <xdr:spPr>
          <a:xfrm>
            <a:off x="8295118" y="2365238"/>
            <a:ext cx="5287532" cy="3225938"/>
          </a:xfrm>
          <a:prstGeom prst="roundRect">
            <a:avLst>
              <a:gd name="adj" fmla="val 7935"/>
            </a:avLst>
          </a:prstGeom>
          <a:gradFill>
            <a:gsLst>
              <a:gs pos="0">
                <a:srgbClr val="323687"/>
              </a:gs>
              <a:gs pos="75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aphicFrame macro="">
        <xdr:nvGraphicFramePr>
          <xdr:cNvPr id="51" name="Chart 50">
            <a:extLst>
              <a:ext uri="{FF2B5EF4-FFF2-40B4-BE49-F238E27FC236}">
                <a16:creationId xmlns:a16="http://schemas.microsoft.com/office/drawing/2014/main" id="{917CBBCF-F644-48E3-AE99-979C6B4746AD}"/>
              </a:ext>
            </a:extLst>
          </xdr:cNvPr>
          <xdr:cNvGraphicFramePr>
            <a:graphicFrameLocks/>
          </xdr:cNvGraphicFramePr>
        </xdr:nvGraphicFramePr>
        <xdr:xfrm>
          <a:off x="8458200" y="2457450"/>
          <a:ext cx="4991100" cy="3028950"/>
        </xdr:xfrm>
        <a:graphic>
          <a:graphicData uri="http://schemas.openxmlformats.org/drawingml/2006/chart">
            <c:chart xmlns:c="http://schemas.openxmlformats.org/drawingml/2006/chart" xmlns:r="http://schemas.openxmlformats.org/officeDocument/2006/relationships" r:id="rId28"/>
          </a:graphicData>
        </a:graphic>
      </xdr:graphicFrame>
    </xdr:grpSp>
    <xdr:clientData/>
  </xdr:twoCellAnchor>
  <xdr:twoCellAnchor>
    <xdr:from>
      <xdr:col>4</xdr:col>
      <xdr:colOff>190500</xdr:colOff>
      <xdr:row>31</xdr:row>
      <xdr:rowOff>171068</xdr:rowOff>
    </xdr:from>
    <xdr:to>
      <xdr:col>22</xdr:col>
      <xdr:colOff>161925</xdr:colOff>
      <xdr:row>42</xdr:row>
      <xdr:rowOff>38100</xdr:rowOff>
    </xdr:to>
    <xdr:graphicFrame macro="">
      <xdr:nvGraphicFramePr>
        <xdr:cNvPr id="52" name="Chart 51">
          <a:extLst>
            <a:ext uri="{FF2B5EF4-FFF2-40B4-BE49-F238E27FC236}">
              <a16:creationId xmlns:a16="http://schemas.microsoft.com/office/drawing/2014/main" id="{455EC616-5910-4220-AF77-25E59DFA6C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464820</xdr:colOff>
      <xdr:row>1</xdr:row>
      <xdr:rowOff>83820</xdr:rowOff>
    </xdr:from>
    <xdr:to>
      <xdr:col>1</xdr:col>
      <xdr:colOff>495300</xdr:colOff>
      <xdr:row>3</xdr:row>
      <xdr:rowOff>53340</xdr:rowOff>
    </xdr:to>
    <xdr:sp macro="" textlink="">
      <xdr:nvSpPr>
        <xdr:cNvPr id="2" name="Rectangle 1">
          <a:extLst>
            <a:ext uri="{FF2B5EF4-FFF2-40B4-BE49-F238E27FC236}">
              <a16:creationId xmlns:a16="http://schemas.microsoft.com/office/drawing/2014/main" id="{EF4800F9-3BB8-47CF-AE6F-200CE0D933DD}"/>
            </a:ext>
          </a:extLst>
        </xdr:cNvPr>
        <xdr:cNvSpPr/>
      </xdr:nvSpPr>
      <xdr:spPr>
        <a:xfrm>
          <a:off x="464820" y="266700"/>
          <a:ext cx="640080" cy="335280"/>
        </a:xfrm>
        <a:prstGeom prst="rect">
          <a:avLst/>
        </a:prstGeom>
        <a:solidFill>
          <a:srgbClr val="1214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392238</xdr:colOff>
      <xdr:row>0</xdr:row>
      <xdr:rowOff>167640</xdr:rowOff>
    </xdr:from>
    <xdr:to>
      <xdr:col>23</xdr:col>
      <xdr:colOff>156018</xdr:colOff>
      <xdr:row>45</xdr:row>
      <xdr:rowOff>53340</xdr:rowOff>
    </xdr:to>
    <xdr:sp macro="" textlink="">
      <xdr:nvSpPr>
        <xdr:cNvPr id="3" name="Rectangle: Rounded Corners 2">
          <a:extLst>
            <a:ext uri="{FF2B5EF4-FFF2-40B4-BE49-F238E27FC236}">
              <a16:creationId xmlns:a16="http://schemas.microsoft.com/office/drawing/2014/main" id="{92C987A0-2152-4DF5-96B3-D0E1E6634BF4}"/>
            </a:ext>
          </a:extLst>
        </xdr:cNvPr>
        <xdr:cNvSpPr/>
      </xdr:nvSpPr>
      <xdr:spPr>
        <a:xfrm>
          <a:off x="392238" y="167640"/>
          <a:ext cx="13784580" cy="8115300"/>
        </a:xfrm>
        <a:prstGeom prst="roundRect">
          <a:avLst>
            <a:gd name="adj" fmla="val 6581"/>
          </a:avLst>
        </a:prstGeom>
        <a:gradFill flip="none" rotWithShape="1">
          <a:gsLst>
            <a:gs pos="0">
              <a:srgbClr val="1F2357"/>
            </a:gs>
            <a:gs pos="75000">
              <a:srgbClr val="10123B"/>
            </a:gs>
          </a:gsLst>
          <a:lin ang="8100000" scaled="1"/>
          <a:tileRect/>
        </a:gradFill>
        <a:ln w="9525">
          <a:gradFill flip="none" rotWithShape="1">
            <a:gsLst>
              <a:gs pos="0">
                <a:srgbClr val="4647A6"/>
              </a:gs>
              <a:gs pos="100000">
                <a:srgbClr val="333787"/>
              </a:gs>
            </a:gsLst>
            <a:lin ang="8100000" scaled="1"/>
            <a:tileRect/>
          </a:grad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ru-RU"/>
            <a:t> </a:t>
          </a:r>
        </a:p>
      </xdr:txBody>
    </xdr:sp>
    <xdr:clientData/>
  </xdr:twoCellAnchor>
  <xdr:twoCellAnchor>
    <xdr:from>
      <xdr:col>1</xdr:col>
      <xdr:colOff>116097</xdr:colOff>
      <xdr:row>2</xdr:row>
      <xdr:rowOff>100664</xdr:rowOff>
    </xdr:from>
    <xdr:to>
      <xdr:col>22</xdr:col>
      <xdr:colOff>458997</xdr:colOff>
      <xdr:row>43</xdr:row>
      <xdr:rowOff>99059</xdr:rowOff>
    </xdr:to>
    <xdr:sp macro="" textlink="">
      <xdr:nvSpPr>
        <xdr:cNvPr id="4" name="Rectangle: Rounded Corners 3">
          <a:extLst>
            <a:ext uri="{FF2B5EF4-FFF2-40B4-BE49-F238E27FC236}">
              <a16:creationId xmlns:a16="http://schemas.microsoft.com/office/drawing/2014/main" id="{F868829E-71F5-44FD-8B81-487C719DB132}"/>
            </a:ext>
          </a:extLst>
        </xdr:cNvPr>
        <xdr:cNvSpPr/>
      </xdr:nvSpPr>
      <xdr:spPr>
        <a:xfrm>
          <a:off x="725697" y="466424"/>
          <a:ext cx="13144500" cy="7496475"/>
        </a:xfrm>
        <a:prstGeom prst="roundRect">
          <a:avLst>
            <a:gd name="adj" fmla="val 5042"/>
          </a:avLst>
        </a:prstGeom>
        <a:gradFill flip="none" rotWithShape="1">
          <a:gsLst>
            <a:gs pos="0">
              <a:srgbClr val="20245A"/>
            </a:gs>
            <a:gs pos="75000">
              <a:srgbClr val="10123B"/>
            </a:gs>
          </a:gsLst>
          <a:lin ang="8100000" scaled="1"/>
          <a:tileRect/>
        </a:gradFill>
        <a:ln w="9525">
          <a:gradFill flip="none" rotWithShape="1">
            <a:gsLst>
              <a:gs pos="0">
                <a:srgbClr val="B9C1FF"/>
              </a:gs>
              <a:gs pos="33000">
                <a:srgbClr val="3D4098"/>
              </a:gs>
              <a:gs pos="100000">
                <a:srgbClr val="333787"/>
              </a:gs>
            </a:gsLst>
            <a:lin ang="9000000" scaled="0"/>
            <a:tileRect/>
          </a:gradFill>
        </a:ln>
        <a:effectLst>
          <a:outerShdw blurRad="2540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99060</xdr:colOff>
      <xdr:row>4</xdr:row>
      <xdr:rowOff>23019</xdr:rowOff>
    </xdr:from>
    <xdr:to>
      <xdr:col>22</xdr:col>
      <xdr:colOff>183490</xdr:colOff>
      <xdr:row>11</xdr:row>
      <xdr:rowOff>125506</xdr:rowOff>
    </xdr:to>
    <xdr:sp macro="" textlink="">
      <xdr:nvSpPr>
        <xdr:cNvPr id="5" name="Rectangle: Rounded Corners 4">
          <a:extLst>
            <a:ext uri="{FF2B5EF4-FFF2-40B4-BE49-F238E27FC236}">
              <a16:creationId xmlns:a16="http://schemas.microsoft.com/office/drawing/2014/main" id="{E176B042-79D1-49B9-AAB3-5CAC7C448147}"/>
            </a:ext>
          </a:extLst>
        </xdr:cNvPr>
        <xdr:cNvSpPr/>
      </xdr:nvSpPr>
      <xdr:spPr>
        <a:xfrm>
          <a:off x="2537460" y="754539"/>
          <a:ext cx="11057230" cy="1382647"/>
        </a:xfrm>
        <a:prstGeom prst="roundRect">
          <a:avLst>
            <a:gd name="adj" fmla="val 14979"/>
          </a:avLst>
        </a:prstGeom>
        <a:gradFill>
          <a:gsLst>
            <a:gs pos="97000">
              <a:srgbClr val="2C3076"/>
            </a:gs>
            <a:gs pos="5000">
              <a:srgbClr val="2C3076"/>
            </a:gs>
            <a:gs pos="0">
              <a:srgbClr val="323687"/>
            </a:gs>
            <a:gs pos="100000">
              <a:srgbClr val="22255C"/>
            </a:gs>
          </a:gsLst>
          <a:lin ang="108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132193</xdr:colOff>
      <xdr:row>13</xdr:row>
      <xdr:rowOff>22087</xdr:rowOff>
    </xdr:from>
    <xdr:to>
      <xdr:col>13</xdr:col>
      <xdr:colOff>209550</xdr:colOff>
      <xdr:row>42</xdr:row>
      <xdr:rowOff>76200</xdr:rowOff>
    </xdr:to>
    <xdr:sp macro="" textlink="">
      <xdr:nvSpPr>
        <xdr:cNvPr id="6" name="Rectangle: Rounded Corners 5">
          <a:extLst>
            <a:ext uri="{FF2B5EF4-FFF2-40B4-BE49-F238E27FC236}">
              <a16:creationId xmlns:a16="http://schemas.microsoft.com/office/drawing/2014/main" id="{DE899979-EA9D-41AE-8C75-ED89EE8F8E7D}"/>
            </a:ext>
          </a:extLst>
        </xdr:cNvPr>
        <xdr:cNvSpPr/>
      </xdr:nvSpPr>
      <xdr:spPr>
        <a:xfrm>
          <a:off x="2570593" y="2374762"/>
          <a:ext cx="5563757" cy="5302388"/>
        </a:xfrm>
        <a:prstGeom prst="roundRect">
          <a:avLst>
            <a:gd name="adj" fmla="val 7935"/>
          </a:avLst>
        </a:prstGeom>
        <a:gradFill>
          <a:gsLst>
            <a:gs pos="0">
              <a:srgbClr val="323687"/>
            </a:gs>
            <a:gs pos="75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435597</xdr:colOff>
      <xdr:row>7</xdr:row>
      <xdr:rowOff>161730</xdr:rowOff>
    </xdr:from>
    <xdr:to>
      <xdr:col>3</xdr:col>
      <xdr:colOff>498058</xdr:colOff>
      <xdr:row>42</xdr:row>
      <xdr:rowOff>38100</xdr:rowOff>
    </xdr:to>
    <xdr:sp macro="" textlink="">
      <xdr:nvSpPr>
        <xdr:cNvPr id="9" name="Rectangle: Rounded Corners 8">
          <a:extLst>
            <a:ext uri="{FF2B5EF4-FFF2-40B4-BE49-F238E27FC236}">
              <a16:creationId xmlns:a16="http://schemas.microsoft.com/office/drawing/2014/main" id="{41D1B830-6C24-4FF7-890B-54E8FC15E568}"/>
            </a:ext>
          </a:extLst>
        </xdr:cNvPr>
        <xdr:cNvSpPr/>
      </xdr:nvSpPr>
      <xdr:spPr>
        <a:xfrm>
          <a:off x="1045197" y="1441890"/>
          <a:ext cx="1281661" cy="6277170"/>
        </a:xfrm>
        <a:prstGeom prst="roundRect">
          <a:avLst>
            <a:gd name="adj" fmla="val 18817"/>
          </a:avLst>
        </a:prstGeom>
        <a:gradFill>
          <a:gsLst>
            <a:gs pos="0">
              <a:srgbClr val="2E317C"/>
            </a:gs>
            <a:gs pos="23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500140</xdr:colOff>
      <xdr:row>8</xdr:row>
      <xdr:rowOff>90747</xdr:rowOff>
    </xdr:from>
    <xdr:to>
      <xdr:col>3</xdr:col>
      <xdr:colOff>405804</xdr:colOff>
      <xdr:row>12</xdr:row>
      <xdr:rowOff>1621</xdr:rowOff>
    </xdr:to>
    <xdr:grpSp>
      <xdr:nvGrpSpPr>
        <xdr:cNvPr id="10" name="Group 9">
          <a:hlinkClick xmlns:r="http://schemas.openxmlformats.org/officeDocument/2006/relationships" r:id="rId1"/>
          <a:extLst>
            <a:ext uri="{FF2B5EF4-FFF2-40B4-BE49-F238E27FC236}">
              <a16:creationId xmlns:a16="http://schemas.microsoft.com/office/drawing/2014/main" id="{FC6D7E8F-20D4-4FF9-AB30-2BD4D358DDE2}"/>
            </a:ext>
          </a:extLst>
        </xdr:cNvPr>
        <xdr:cNvGrpSpPr/>
      </xdr:nvGrpSpPr>
      <xdr:grpSpPr>
        <a:xfrm>
          <a:off x="1109740" y="1538547"/>
          <a:ext cx="1124864" cy="634774"/>
          <a:chOff x="1109740" y="1553787"/>
          <a:chExt cx="1124864" cy="642394"/>
        </a:xfrm>
      </xdr:grpSpPr>
      <xdr:pic>
        <xdr:nvPicPr>
          <xdr:cNvPr id="11" name="Graphic 10" descr="Home with solid fill">
            <a:extLst>
              <a:ext uri="{FF2B5EF4-FFF2-40B4-BE49-F238E27FC236}">
                <a16:creationId xmlns:a16="http://schemas.microsoft.com/office/drawing/2014/main" id="{075F833F-2087-163B-4EEC-D455D7A38DB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56113" y="1553787"/>
            <a:ext cx="426720" cy="426720"/>
          </a:xfrm>
          <a:prstGeom prst="rect">
            <a:avLst/>
          </a:prstGeom>
          <a:effectLst/>
        </xdr:spPr>
      </xdr:pic>
      <xdr:sp macro="" textlink="#REF!">
        <xdr:nvSpPr>
          <xdr:cNvPr id="12" name="TextBox 11">
            <a:extLst>
              <a:ext uri="{FF2B5EF4-FFF2-40B4-BE49-F238E27FC236}">
                <a16:creationId xmlns:a16="http://schemas.microsoft.com/office/drawing/2014/main" id="{9CECD957-2F3F-EBCB-BA00-E22BD2B4E46E}"/>
              </a:ext>
            </a:extLst>
          </xdr:cNvPr>
          <xdr:cNvSpPr txBox="1"/>
        </xdr:nvSpPr>
        <xdr:spPr>
          <a:xfrm>
            <a:off x="1109740" y="1935244"/>
            <a:ext cx="1124864" cy="260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3D42D12-6D1C-4BD6-BF7A-FB3615575702}" type="TxLink">
              <a:rPr lang="en-US" sz="1400" b="0" i="0" u="none" strike="noStrike">
                <a:solidFill>
                  <a:srgbClr val="6372A4"/>
                </a:solidFill>
                <a:latin typeface="Aptos Narrow"/>
                <a:ea typeface="+mn-ea"/>
                <a:cs typeface="+mn-cs"/>
              </a:rPr>
              <a:pPr marL="0" indent="0" algn="ctr"/>
              <a:t>Dashboard</a:t>
            </a:fld>
            <a:endParaRPr lang="ru-RU" sz="1400" b="0" i="0" u="none" strike="noStrike">
              <a:solidFill>
                <a:srgbClr val="6372A4"/>
              </a:solidFill>
              <a:latin typeface="Aptos Narrow"/>
              <a:ea typeface="+mn-ea"/>
              <a:cs typeface="+mn-cs"/>
            </a:endParaRPr>
          </a:p>
        </xdr:txBody>
      </xdr:sp>
    </xdr:grpSp>
    <xdr:clientData/>
  </xdr:twoCellAnchor>
  <xdr:twoCellAnchor>
    <xdr:from>
      <xdr:col>14</xdr:col>
      <xdr:colOff>604780</xdr:colOff>
      <xdr:row>13</xdr:row>
      <xdr:rowOff>7620</xdr:rowOff>
    </xdr:from>
    <xdr:to>
      <xdr:col>16</xdr:col>
      <xdr:colOff>363532</xdr:colOff>
      <xdr:row>14</xdr:row>
      <xdr:rowOff>82906</xdr:rowOff>
    </xdr:to>
    <xdr:sp macro="" textlink="$C$60">
      <xdr:nvSpPr>
        <xdr:cNvPr id="13" name="TextBox 12">
          <a:extLst>
            <a:ext uri="{FF2B5EF4-FFF2-40B4-BE49-F238E27FC236}">
              <a16:creationId xmlns:a16="http://schemas.microsoft.com/office/drawing/2014/main" id="{756AFE9B-608F-48B6-B91D-E01D5E1E06FC}"/>
            </a:ext>
          </a:extLst>
        </xdr:cNvPr>
        <xdr:cNvSpPr txBox="1"/>
      </xdr:nvSpPr>
      <xdr:spPr>
        <a:xfrm>
          <a:off x="9139180" y="2385060"/>
          <a:ext cx="977952"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A33B9D-F834-4294-BE87-29F6752F0B43}" type="TxLink">
            <a:rPr lang="en-US" sz="1200" b="0" i="0" u="none" strike="noStrike">
              <a:solidFill>
                <a:schemeClr val="tx2">
                  <a:lumMod val="25000"/>
                  <a:lumOff val="75000"/>
                </a:schemeClr>
              </a:solidFill>
              <a:latin typeface="Aptos Narrow"/>
            </a:rPr>
            <a:pPr algn="ctr"/>
            <a:t> </a:t>
          </a:fld>
          <a:endParaRPr lang="ru-RU" sz="1600" b="0">
            <a:solidFill>
              <a:schemeClr val="tx2">
                <a:lumMod val="25000"/>
                <a:lumOff val="75000"/>
              </a:schemeClr>
            </a:solidFill>
          </a:endParaRPr>
        </a:p>
      </xdr:txBody>
    </xdr:sp>
    <xdr:clientData/>
  </xdr:twoCellAnchor>
  <xdr:twoCellAnchor>
    <xdr:from>
      <xdr:col>14</xdr:col>
      <xdr:colOff>604780</xdr:colOff>
      <xdr:row>14</xdr:row>
      <xdr:rowOff>63292</xdr:rowOff>
    </xdr:from>
    <xdr:to>
      <xdr:col>16</xdr:col>
      <xdr:colOff>363532</xdr:colOff>
      <xdr:row>15</xdr:row>
      <xdr:rowOff>164395</xdr:rowOff>
    </xdr:to>
    <xdr:sp macro="" textlink="$D$55">
      <xdr:nvSpPr>
        <xdr:cNvPr id="14" name="TextBox 13">
          <a:extLst>
            <a:ext uri="{FF2B5EF4-FFF2-40B4-BE49-F238E27FC236}">
              <a16:creationId xmlns:a16="http://schemas.microsoft.com/office/drawing/2014/main" id="{2B826BA7-5B59-4A79-9CC9-6960D29B738E}"/>
            </a:ext>
          </a:extLst>
        </xdr:cNvPr>
        <xdr:cNvSpPr txBox="1"/>
      </xdr:nvSpPr>
      <xdr:spPr>
        <a:xfrm>
          <a:off x="9139180" y="2623612"/>
          <a:ext cx="977952" cy="28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C2A362-1984-4E0F-B2F1-1722CB1B7A1B}" type="TxLink">
            <a:rPr lang="en-US" sz="2400" b="0" i="0" u="none" strike="noStrike">
              <a:solidFill>
                <a:schemeClr val="bg1"/>
              </a:solidFill>
              <a:latin typeface="Aptos Narrow"/>
            </a:rPr>
            <a:pPr algn="ctr"/>
            <a:t> </a:t>
          </a:fld>
          <a:endParaRPr lang="ru-RU" sz="2400" b="0">
            <a:solidFill>
              <a:schemeClr val="bg1"/>
            </a:solidFill>
          </a:endParaRPr>
        </a:p>
      </xdr:txBody>
    </xdr:sp>
    <xdr:clientData/>
  </xdr:twoCellAnchor>
  <xdr:twoCellAnchor>
    <xdr:from>
      <xdr:col>7</xdr:col>
      <xdr:colOff>332740</xdr:colOff>
      <xdr:row>20</xdr:row>
      <xdr:rowOff>124968</xdr:rowOff>
    </xdr:from>
    <xdr:to>
      <xdr:col>13</xdr:col>
      <xdr:colOff>434341</xdr:colOff>
      <xdr:row>34</xdr:row>
      <xdr:rowOff>45720</xdr:rowOff>
    </xdr:to>
    <xdr:graphicFrame macro="">
      <xdr:nvGraphicFramePr>
        <xdr:cNvPr id="15" name="Chart 14" hidden="1">
          <a:extLst>
            <a:ext uri="{FF2B5EF4-FFF2-40B4-BE49-F238E27FC236}">
              <a16:creationId xmlns:a16="http://schemas.microsoft.com/office/drawing/2014/main" id="{4951EDC6-CEF5-4401-ABD8-5CA97211DB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392614</xdr:colOff>
      <xdr:row>25</xdr:row>
      <xdr:rowOff>63955</xdr:rowOff>
    </xdr:from>
    <xdr:to>
      <xdr:col>15</xdr:col>
      <xdr:colOff>404806</xdr:colOff>
      <xdr:row>29</xdr:row>
      <xdr:rowOff>127963</xdr:rowOff>
    </xdr:to>
    <xdr:sp macro="" textlink="$D$76">
      <xdr:nvSpPr>
        <xdr:cNvPr id="16" name="TextBox 15">
          <a:extLst>
            <a:ext uri="{FF2B5EF4-FFF2-40B4-BE49-F238E27FC236}">
              <a16:creationId xmlns:a16="http://schemas.microsoft.com/office/drawing/2014/main" id="{3E27764A-A93A-4040-9247-491E21C9F87A}"/>
            </a:ext>
          </a:extLst>
        </xdr:cNvPr>
        <xdr:cNvSpPr txBox="1"/>
      </xdr:nvSpPr>
      <xdr:spPr>
        <a:xfrm>
          <a:off x="8927014" y="4635955"/>
          <a:ext cx="621792" cy="795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1AC67DD-5614-4ED2-B1AD-9682E26BEFA2}" type="TxLink">
            <a:rPr lang="en-US" sz="800" b="0" i="0" u="none" strike="noStrike">
              <a:solidFill>
                <a:schemeClr val="tx2">
                  <a:lumMod val="25000"/>
                  <a:lumOff val="75000"/>
                </a:schemeClr>
              </a:solidFill>
              <a:latin typeface="Aptos Narrow"/>
            </a:rPr>
            <a:pPr algn="l"/>
            <a:t> </a:t>
          </a:fld>
          <a:endParaRPr lang="ru-RU" sz="800" b="0">
            <a:solidFill>
              <a:schemeClr val="tx2">
                <a:lumMod val="25000"/>
                <a:lumOff val="75000"/>
              </a:schemeClr>
            </a:solidFill>
          </a:endParaRPr>
        </a:p>
      </xdr:txBody>
    </xdr:sp>
    <xdr:clientData/>
  </xdr:twoCellAnchor>
  <xdr:twoCellAnchor>
    <xdr:from>
      <xdr:col>19</xdr:col>
      <xdr:colOff>34668</xdr:colOff>
      <xdr:row>22</xdr:row>
      <xdr:rowOff>147769</xdr:rowOff>
    </xdr:from>
    <xdr:to>
      <xdr:col>20</xdr:col>
      <xdr:colOff>447672</xdr:colOff>
      <xdr:row>24</xdr:row>
      <xdr:rowOff>40175</xdr:rowOff>
    </xdr:to>
    <xdr:sp macro="" textlink="$A$53">
      <xdr:nvSpPr>
        <xdr:cNvPr id="17" name="TextBox 16">
          <a:extLst>
            <a:ext uri="{FF2B5EF4-FFF2-40B4-BE49-F238E27FC236}">
              <a16:creationId xmlns:a16="http://schemas.microsoft.com/office/drawing/2014/main" id="{D97F2D30-FB23-4C54-A1EB-4238D1D7AF4B}"/>
            </a:ext>
          </a:extLst>
        </xdr:cNvPr>
        <xdr:cNvSpPr txBox="1"/>
      </xdr:nvSpPr>
      <xdr:spPr>
        <a:xfrm>
          <a:off x="11617068" y="4171129"/>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1732DB7-45E1-47AD-8A64-12C1477C1F51}" type="TxLink">
            <a:rPr lang="en-US" sz="1400" b="0" i="0" u="none" strike="noStrike">
              <a:solidFill>
                <a:schemeClr val="tx2">
                  <a:lumMod val="25000"/>
                  <a:lumOff val="75000"/>
                </a:schemeClr>
              </a:solidFill>
              <a:latin typeface="Aptos Narrow"/>
            </a:rPr>
            <a:pPr algn="l"/>
            <a:t> </a:t>
          </a:fld>
          <a:endParaRPr lang="ru-RU" sz="2000">
            <a:solidFill>
              <a:schemeClr val="tx2">
                <a:lumMod val="25000"/>
                <a:lumOff val="75000"/>
              </a:schemeClr>
            </a:solidFill>
          </a:endParaRPr>
        </a:p>
      </xdr:txBody>
    </xdr:sp>
    <xdr:clientData/>
  </xdr:twoCellAnchor>
  <xdr:twoCellAnchor>
    <xdr:from>
      <xdr:col>19</xdr:col>
      <xdr:colOff>34668</xdr:colOff>
      <xdr:row>25</xdr:row>
      <xdr:rowOff>48666</xdr:rowOff>
    </xdr:from>
    <xdr:to>
      <xdr:col>20</xdr:col>
      <xdr:colOff>447672</xdr:colOff>
      <xdr:row>26</xdr:row>
      <xdr:rowOff>123952</xdr:rowOff>
    </xdr:to>
    <xdr:sp macro="" textlink="$A$54">
      <xdr:nvSpPr>
        <xdr:cNvPr id="18" name="TextBox 17">
          <a:extLst>
            <a:ext uri="{FF2B5EF4-FFF2-40B4-BE49-F238E27FC236}">
              <a16:creationId xmlns:a16="http://schemas.microsoft.com/office/drawing/2014/main" id="{7BFB2F95-6966-418A-9C5A-0603D32B7A30}"/>
            </a:ext>
          </a:extLst>
        </xdr:cNvPr>
        <xdr:cNvSpPr txBox="1"/>
      </xdr:nvSpPr>
      <xdr:spPr>
        <a:xfrm>
          <a:off x="11617068" y="4620666"/>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4132016-B00B-4926-87EE-A0F664231BBC}" type="TxLink">
            <a:rPr lang="en-US" sz="1400" b="0" i="0" u="none" strike="noStrike">
              <a:solidFill>
                <a:schemeClr val="tx2">
                  <a:lumMod val="25000"/>
                  <a:lumOff val="75000"/>
                </a:schemeClr>
              </a:solidFill>
              <a:latin typeface="Aptos Narrow"/>
            </a:rPr>
            <a:pPr algn="l"/>
            <a:t> </a:t>
          </a:fld>
          <a:endParaRPr lang="ru-RU" sz="1600">
            <a:solidFill>
              <a:schemeClr val="tx2">
                <a:lumMod val="25000"/>
                <a:lumOff val="75000"/>
              </a:schemeClr>
            </a:solidFill>
          </a:endParaRPr>
        </a:p>
      </xdr:txBody>
    </xdr:sp>
    <xdr:clientData/>
  </xdr:twoCellAnchor>
  <xdr:twoCellAnchor>
    <xdr:from>
      <xdr:col>19</xdr:col>
      <xdr:colOff>34668</xdr:colOff>
      <xdr:row>27</xdr:row>
      <xdr:rowOff>132443</xdr:rowOff>
    </xdr:from>
    <xdr:to>
      <xdr:col>20</xdr:col>
      <xdr:colOff>447672</xdr:colOff>
      <xdr:row>29</xdr:row>
      <xdr:rowOff>24849</xdr:rowOff>
    </xdr:to>
    <xdr:sp macro="" textlink="$A$55">
      <xdr:nvSpPr>
        <xdr:cNvPr id="19" name="TextBox 18">
          <a:extLst>
            <a:ext uri="{FF2B5EF4-FFF2-40B4-BE49-F238E27FC236}">
              <a16:creationId xmlns:a16="http://schemas.microsoft.com/office/drawing/2014/main" id="{2B77DE79-230E-4D4E-A7BD-15FBE51F7712}"/>
            </a:ext>
          </a:extLst>
        </xdr:cNvPr>
        <xdr:cNvSpPr txBox="1"/>
      </xdr:nvSpPr>
      <xdr:spPr>
        <a:xfrm>
          <a:off x="11617068" y="5070203"/>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800EC6F-4F9A-4655-982C-0D43CE89D16F}" type="TxLink">
            <a:rPr lang="en-US" sz="1400" b="0" i="0" u="none" strike="noStrike">
              <a:solidFill>
                <a:schemeClr val="tx2">
                  <a:lumMod val="25000"/>
                  <a:lumOff val="75000"/>
                </a:schemeClr>
              </a:solidFill>
              <a:latin typeface="Aptos Narrow"/>
            </a:rPr>
            <a:pPr algn="l"/>
            <a:t> </a:t>
          </a:fld>
          <a:endParaRPr lang="ru-RU" sz="2000">
            <a:solidFill>
              <a:schemeClr val="tx2">
                <a:lumMod val="25000"/>
                <a:lumOff val="75000"/>
              </a:schemeClr>
            </a:solidFill>
          </a:endParaRPr>
        </a:p>
      </xdr:txBody>
    </xdr:sp>
    <xdr:clientData/>
  </xdr:twoCellAnchor>
  <xdr:twoCellAnchor>
    <xdr:from>
      <xdr:col>19</xdr:col>
      <xdr:colOff>34668</xdr:colOff>
      <xdr:row>30</xdr:row>
      <xdr:rowOff>33340</xdr:rowOff>
    </xdr:from>
    <xdr:to>
      <xdr:col>20</xdr:col>
      <xdr:colOff>447672</xdr:colOff>
      <xdr:row>31</xdr:row>
      <xdr:rowOff>108626</xdr:rowOff>
    </xdr:to>
    <xdr:sp macro="" textlink="$A$56">
      <xdr:nvSpPr>
        <xdr:cNvPr id="20" name="TextBox 19">
          <a:extLst>
            <a:ext uri="{FF2B5EF4-FFF2-40B4-BE49-F238E27FC236}">
              <a16:creationId xmlns:a16="http://schemas.microsoft.com/office/drawing/2014/main" id="{E000839C-49AD-4705-97CB-78A79683920E}"/>
            </a:ext>
          </a:extLst>
        </xdr:cNvPr>
        <xdr:cNvSpPr txBox="1"/>
      </xdr:nvSpPr>
      <xdr:spPr>
        <a:xfrm>
          <a:off x="11617068" y="5519740"/>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8C18B09-F15C-49A8-BDC9-19B94F66EBF7}" type="TxLink">
            <a:rPr lang="en-US" sz="1400" b="0" i="0" u="none" strike="noStrike">
              <a:solidFill>
                <a:schemeClr val="tx2">
                  <a:lumMod val="25000"/>
                  <a:lumOff val="75000"/>
                </a:schemeClr>
              </a:solidFill>
              <a:latin typeface="Aptos Narrow"/>
              <a:ea typeface="+mn-ea"/>
              <a:cs typeface="+mn-cs"/>
            </a:rPr>
            <a:pPr marL="0" indent="0" algn="l"/>
            <a:t> </a:t>
          </a:fld>
          <a:endParaRPr lang="ru-RU" sz="1400" b="0" i="0" u="none" strike="noStrike">
            <a:solidFill>
              <a:schemeClr val="tx2">
                <a:lumMod val="25000"/>
                <a:lumOff val="75000"/>
              </a:schemeClr>
            </a:solidFill>
            <a:latin typeface="Aptos Narrow"/>
            <a:ea typeface="+mn-ea"/>
            <a:cs typeface="+mn-cs"/>
          </a:endParaRPr>
        </a:p>
      </xdr:txBody>
    </xdr:sp>
    <xdr:clientData/>
  </xdr:twoCellAnchor>
  <xdr:twoCellAnchor>
    <xdr:from>
      <xdr:col>20</xdr:col>
      <xdr:colOff>263268</xdr:colOff>
      <xdr:row>22</xdr:row>
      <xdr:rowOff>147769</xdr:rowOff>
    </xdr:from>
    <xdr:to>
      <xdr:col>22</xdr:col>
      <xdr:colOff>66672</xdr:colOff>
      <xdr:row>24</xdr:row>
      <xdr:rowOff>40175</xdr:rowOff>
    </xdr:to>
    <xdr:sp macro="" textlink="$B$53">
      <xdr:nvSpPr>
        <xdr:cNvPr id="21" name="TextBox 20">
          <a:extLst>
            <a:ext uri="{FF2B5EF4-FFF2-40B4-BE49-F238E27FC236}">
              <a16:creationId xmlns:a16="http://schemas.microsoft.com/office/drawing/2014/main" id="{C303BD79-39A3-4F50-8431-952FC48DD2DE}"/>
            </a:ext>
          </a:extLst>
        </xdr:cNvPr>
        <xdr:cNvSpPr txBox="1"/>
      </xdr:nvSpPr>
      <xdr:spPr>
        <a:xfrm>
          <a:off x="12455268" y="4171129"/>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E47465B1-4BE7-4C23-8B11-42192BF425CF}" type="TxLink">
            <a:rPr lang="en-US" sz="1400" b="0" i="0" u="none" strike="noStrike">
              <a:solidFill>
                <a:schemeClr val="tx2">
                  <a:lumMod val="25000"/>
                  <a:lumOff val="75000"/>
                </a:schemeClr>
              </a:solidFill>
              <a:latin typeface="Aptos Narrow"/>
            </a:rPr>
            <a:pPr algn="r"/>
            <a:t> </a:t>
          </a:fld>
          <a:endParaRPr lang="ru-RU" sz="2800">
            <a:solidFill>
              <a:schemeClr val="tx2">
                <a:lumMod val="25000"/>
                <a:lumOff val="75000"/>
              </a:schemeClr>
            </a:solidFill>
          </a:endParaRPr>
        </a:p>
      </xdr:txBody>
    </xdr:sp>
    <xdr:clientData/>
  </xdr:twoCellAnchor>
  <xdr:twoCellAnchor>
    <xdr:from>
      <xdr:col>20</xdr:col>
      <xdr:colOff>263268</xdr:colOff>
      <xdr:row>25</xdr:row>
      <xdr:rowOff>48666</xdr:rowOff>
    </xdr:from>
    <xdr:to>
      <xdr:col>22</xdr:col>
      <xdr:colOff>66672</xdr:colOff>
      <xdr:row>26</xdr:row>
      <xdr:rowOff>123952</xdr:rowOff>
    </xdr:to>
    <xdr:sp macro="" textlink="$B$54">
      <xdr:nvSpPr>
        <xdr:cNvPr id="22" name="TextBox 21">
          <a:extLst>
            <a:ext uri="{FF2B5EF4-FFF2-40B4-BE49-F238E27FC236}">
              <a16:creationId xmlns:a16="http://schemas.microsoft.com/office/drawing/2014/main" id="{00DC2220-36B3-45E4-8EC8-C388A79027F5}"/>
            </a:ext>
          </a:extLst>
        </xdr:cNvPr>
        <xdr:cNvSpPr txBox="1"/>
      </xdr:nvSpPr>
      <xdr:spPr>
        <a:xfrm>
          <a:off x="12455268" y="4620666"/>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3204228-334F-480A-BAD4-3079A2B6170F}" type="TxLink">
            <a:rPr lang="en-US" sz="1400" b="0" i="0" u="none" strike="noStrike">
              <a:solidFill>
                <a:schemeClr val="tx2">
                  <a:lumMod val="25000"/>
                  <a:lumOff val="75000"/>
                </a:schemeClr>
              </a:solidFill>
              <a:latin typeface="Aptos Narrow"/>
            </a:rPr>
            <a:pPr algn="r"/>
            <a:t> </a:t>
          </a:fld>
          <a:endParaRPr lang="ru-RU" sz="2000">
            <a:solidFill>
              <a:schemeClr val="tx2">
                <a:lumMod val="25000"/>
                <a:lumOff val="75000"/>
              </a:schemeClr>
            </a:solidFill>
          </a:endParaRPr>
        </a:p>
      </xdr:txBody>
    </xdr:sp>
    <xdr:clientData/>
  </xdr:twoCellAnchor>
  <xdr:twoCellAnchor>
    <xdr:from>
      <xdr:col>20</xdr:col>
      <xdr:colOff>263268</xdr:colOff>
      <xdr:row>27</xdr:row>
      <xdr:rowOff>132443</xdr:rowOff>
    </xdr:from>
    <xdr:to>
      <xdr:col>22</xdr:col>
      <xdr:colOff>66672</xdr:colOff>
      <xdr:row>29</xdr:row>
      <xdr:rowOff>24849</xdr:rowOff>
    </xdr:to>
    <xdr:sp macro="" textlink="$B$55">
      <xdr:nvSpPr>
        <xdr:cNvPr id="23" name="TextBox 22">
          <a:extLst>
            <a:ext uri="{FF2B5EF4-FFF2-40B4-BE49-F238E27FC236}">
              <a16:creationId xmlns:a16="http://schemas.microsoft.com/office/drawing/2014/main" id="{C68D47F9-CC87-429D-BF18-76C1665CB9D0}"/>
            </a:ext>
          </a:extLst>
        </xdr:cNvPr>
        <xdr:cNvSpPr txBox="1"/>
      </xdr:nvSpPr>
      <xdr:spPr>
        <a:xfrm>
          <a:off x="12455268" y="5070203"/>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E9644FEF-9BA8-41DF-881D-E8A1244A7CAE}" type="TxLink">
            <a:rPr lang="en-US" sz="1400" b="0" i="0" u="none" strike="noStrike">
              <a:solidFill>
                <a:schemeClr val="tx2">
                  <a:lumMod val="25000"/>
                  <a:lumOff val="75000"/>
                </a:schemeClr>
              </a:solidFill>
              <a:latin typeface="Aptos Narrow"/>
            </a:rPr>
            <a:pPr algn="r"/>
            <a:t> </a:t>
          </a:fld>
          <a:endParaRPr lang="ru-RU" sz="2800">
            <a:solidFill>
              <a:schemeClr val="tx2">
                <a:lumMod val="25000"/>
                <a:lumOff val="75000"/>
              </a:schemeClr>
            </a:solidFill>
          </a:endParaRPr>
        </a:p>
      </xdr:txBody>
    </xdr:sp>
    <xdr:clientData/>
  </xdr:twoCellAnchor>
  <xdr:twoCellAnchor>
    <xdr:from>
      <xdr:col>20</xdr:col>
      <xdr:colOff>328582</xdr:colOff>
      <xdr:row>32</xdr:row>
      <xdr:rowOff>109539</xdr:rowOff>
    </xdr:from>
    <xdr:to>
      <xdr:col>22</xdr:col>
      <xdr:colOff>131986</xdr:colOff>
      <xdr:row>33</xdr:row>
      <xdr:rowOff>184825</xdr:rowOff>
    </xdr:to>
    <xdr:sp macro="" textlink="$B$56">
      <xdr:nvSpPr>
        <xdr:cNvPr id="24" name="TextBox 23">
          <a:extLst>
            <a:ext uri="{FF2B5EF4-FFF2-40B4-BE49-F238E27FC236}">
              <a16:creationId xmlns:a16="http://schemas.microsoft.com/office/drawing/2014/main" id="{D9F7F937-667A-48EF-9713-1E064E83345F}"/>
            </a:ext>
          </a:extLst>
        </xdr:cNvPr>
        <xdr:cNvSpPr txBox="1"/>
      </xdr:nvSpPr>
      <xdr:spPr>
        <a:xfrm>
          <a:off x="12520582" y="5961699"/>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8F9D2ED-7794-4CAD-A140-112658E75D64}" type="TxLink">
            <a:rPr lang="en-US" sz="1400" b="0" i="0" u="none" strike="noStrike">
              <a:solidFill>
                <a:schemeClr val="tx2">
                  <a:lumMod val="25000"/>
                  <a:lumOff val="75000"/>
                </a:schemeClr>
              </a:solidFill>
              <a:latin typeface="Aptos Narrow"/>
              <a:ea typeface="+mn-ea"/>
              <a:cs typeface="+mn-cs"/>
            </a:rPr>
            <a:pPr marL="0" indent="0" algn="r"/>
            <a:t>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20</xdr:col>
      <xdr:colOff>263268</xdr:colOff>
      <xdr:row>32</xdr:row>
      <xdr:rowOff>117117</xdr:rowOff>
    </xdr:from>
    <xdr:to>
      <xdr:col>22</xdr:col>
      <xdr:colOff>66672</xdr:colOff>
      <xdr:row>34</xdr:row>
      <xdr:rowOff>9523</xdr:rowOff>
    </xdr:to>
    <xdr:sp macro="" textlink="$B$57">
      <xdr:nvSpPr>
        <xdr:cNvPr id="25" name="TextBox 24">
          <a:extLst>
            <a:ext uri="{FF2B5EF4-FFF2-40B4-BE49-F238E27FC236}">
              <a16:creationId xmlns:a16="http://schemas.microsoft.com/office/drawing/2014/main" id="{700D6E12-EC50-4FE2-ADB5-4EF12A84F43E}"/>
            </a:ext>
          </a:extLst>
        </xdr:cNvPr>
        <xdr:cNvSpPr txBox="1"/>
      </xdr:nvSpPr>
      <xdr:spPr>
        <a:xfrm>
          <a:off x="12455268" y="596927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34374E5-FE8C-4C24-ABA4-7352FE20634F}" type="TxLink">
            <a:rPr lang="en-US" sz="1400" b="0" i="0" u="none" strike="noStrike">
              <a:solidFill>
                <a:schemeClr val="tx2">
                  <a:lumMod val="25000"/>
                  <a:lumOff val="75000"/>
                </a:schemeClr>
              </a:solidFill>
              <a:latin typeface="Aptos Narrow"/>
              <a:ea typeface="+mn-ea"/>
              <a:cs typeface="+mn-cs"/>
            </a:rPr>
            <a:pPr marL="0" indent="0" algn="r"/>
            <a:t>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2</xdr:col>
      <xdr:colOff>251460</xdr:colOff>
      <xdr:row>3</xdr:row>
      <xdr:rowOff>175260</xdr:rowOff>
    </xdr:from>
    <xdr:to>
      <xdr:col>4</xdr:col>
      <xdr:colOff>10212</xdr:colOff>
      <xdr:row>6</xdr:row>
      <xdr:rowOff>137160</xdr:rowOff>
    </xdr:to>
    <xdr:sp macro="" textlink="#REF!">
      <xdr:nvSpPr>
        <xdr:cNvPr id="26" name="TextBox 25">
          <a:extLst>
            <a:ext uri="{FF2B5EF4-FFF2-40B4-BE49-F238E27FC236}">
              <a16:creationId xmlns:a16="http://schemas.microsoft.com/office/drawing/2014/main" id="{8474B352-E278-4AB3-AE66-BC5361A02A30}"/>
            </a:ext>
          </a:extLst>
        </xdr:cNvPr>
        <xdr:cNvSpPr txBox="1"/>
      </xdr:nvSpPr>
      <xdr:spPr>
        <a:xfrm>
          <a:off x="1470660" y="723900"/>
          <a:ext cx="977952" cy="510540"/>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chemeClr val="tx2">
                  <a:lumMod val="10000"/>
                  <a:lumOff val="90000"/>
                </a:schemeClr>
              </a:solidFill>
              <a:latin typeface="Aptos Narrow"/>
              <a:ea typeface="+mn-ea"/>
              <a:cs typeface="+mn-cs"/>
            </a:rPr>
            <a:t>Macro Economics</a:t>
          </a:r>
          <a:endParaRPr lang="ru-RU" sz="1200" b="0" i="0" u="none" strike="noStrike">
            <a:solidFill>
              <a:schemeClr val="tx2">
                <a:lumMod val="10000"/>
                <a:lumOff val="90000"/>
              </a:schemeClr>
            </a:solidFill>
            <a:latin typeface="Aptos Narrow"/>
            <a:ea typeface="+mn-ea"/>
            <a:cs typeface="+mn-cs"/>
          </a:endParaRPr>
        </a:p>
      </xdr:txBody>
    </xdr:sp>
    <xdr:clientData/>
  </xdr:twoCellAnchor>
  <xdr:twoCellAnchor>
    <xdr:from>
      <xdr:col>2</xdr:col>
      <xdr:colOff>266700</xdr:colOff>
      <xdr:row>4</xdr:row>
      <xdr:rowOff>64770</xdr:rowOff>
    </xdr:from>
    <xdr:to>
      <xdr:col>2</xdr:col>
      <xdr:colOff>266700</xdr:colOff>
      <xdr:row>6</xdr:row>
      <xdr:rowOff>64770</xdr:rowOff>
    </xdr:to>
    <xdr:cxnSp macro="">
      <xdr:nvCxnSpPr>
        <xdr:cNvPr id="27" name="Straight Connector 26">
          <a:extLst>
            <a:ext uri="{FF2B5EF4-FFF2-40B4-BE49-F238E27FC236}">
              <a16:creationId xmlns:a16="http://schemas.microsoft.com/office/drawing/2014/main" id="{38EB1E8A-B3F5-446F-AEEB-F73BF42642AC}"/>
            </a:ext>
          </a:extLst>
        </xdr:cNvPr>
        <xdr:cNvCxnSpPr/>
      </xdr:nvCxnSpPr>
      <xdr:spPr>
        <a:xfrm>
          <a:off x="1485900" y="796290"/>
          <a:ext cx="0" cy="365760"/>
        </a:xfrm>
        <a:prstGeom prst="line">
          <a:avLst/>
        </a:prstGeom>
        <a:ln w="9525">
          <a:solidFill>
            <a:schemeClr val="tx2">
              <a:lumMod val="25000"/>
              <a:lumOff val="75000"/>
            </a:schemeClr>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xdr:col>
      <xdr:colOff>385482</xdr:colOff>
      <xdr:row>4</xdr:row>
      <xdr:rowOff>116542</xdr:rowOff>
    </xdr:from>
    <xdr:to>
      <xdr:col>2</xdr:col>
      <xdr:colOff>215153</xdr:colOff>
      <xdr:row>6</xdr:row>
      <xdr:rowOff>18932</xdr:rowOff>
    </xdr:to>
    <xdr:pic>
      <xdr:nvPicPr>
        <xdr:cNvPr id="28" name="Picture 27">
          <a:extLst>
            <a:ext uri="{FF2B5EF4-FFF2-40B4-BE49-F238E27FC236}">
              <a16:creationId xmlns:a16="http://schemas.microsoft.com/office/drawing/2014/main" id="{274E58C7-AEE9-41A9-8290-4C091DFC885A}"/>
            </a:ext>
          </a:extLst>
        </xdr:cNvPr>
        <xdr:cNvPicPr>
          <a:picLocks noChangeAspect="1"/>
        </xdr:cNvPicPr>
      </xdr:nvPicPr>
      <xdr:blipFill>
        <a:blip xmlns:r="http://schemas.openxmlformats.org/officeDocument/2006/relationships" r:embed="rId5"/>
        <a:stretch>
          <a:fillRect/>
        </a:stretch>
      </xdr:blipFill>
      <xdr:spPr>
        <a:xfrm>
          <a:off x="995082" y="848062"/>
          <a:ext cx="439271" cy="268150"/>
        </a:xfrm>
        <a:prstGeom prst="rect">
          <a:avLst/>
        </a:prstGeom>
      </xdr:spPr>
    </xdr:pic>
    <xdr:clientData/>
  </xdr:twoCellAnchor>
  <xdr:twoCellAnchor>
    <xdr:from>
      <xdr:col>1</xdr:col>
      <xdr:colOff>514296</xdr:colOff>
      <xdr:row>12</xdr:row>
      <xdr:rowOff>31339</xdr:rowOff>
    </xdr:from>
    <xdr:to>
      <xdr:col>3</xdr:col>
      <xdr:colOff>419960</xdr:colOff>
      <xdr:row>16</xdr:row>
      <xdr:rowOff>5418</xdr:rowOff>
    </xdr:to>
    <xdr:grpSp>
      <xdr:nvGrpSpPr>
        <xdr:cNvPr id="29" name="Group 28">
          <a:hlinkClick xmlns:r="http://schemas.openxmlformats.org/officeDocument/2006/relationships" r:id="rId6"/>
          <a:extLst>
            <a:ext uri="{FF2B5EF4-FFF2-40B4-BE49-F238E27FC236}">
              <a16:creationId xmlns:a16="http://schemas.microsoft.com/office/drawing/2014/main" id="{F1556388-C813-43AB-A4CF-3F83B6B69EC2}"/>
            </a:ext>
          </a:extLst>
        </xdr:cNvPr>
        <xdr:cNvGrpSpPr/>
      </xdr:nvGrpSpPr>
      <xdr:grpSpPr>
        <a:xfrm>
          <a:off x="1123896" y="2203039"/>
          <a:ext cx="1124864" cy="697979"/>
          <a:chOff x="1123896" y="2225899"/>
          <a:chExt cx="1124864" cy="705599"/>
        </a:xfrm>
        <a:effectLst/>
      </xdr:grpSpPr>
      <xdr:sp macro="" textlink="#REF!">
        <xdr:nvSpPr>
          <xdr:cNvPr id="30" name="TextBox 29">
            <a:extLst>
              <a:ext uri="{FF2B5EF4-FFF2-40B4-BE49-F238E27FC236}">
                <a16:creationId xmlns:a16="http://schemas.microsoft.com/office/drawing/2014/main" id="{F97D1558-B202-FC1F-D2AE-39994DDB9411}"/>
              </a:ext>
            </a:extLst>
          </xdr:cNvPr>
          <xdr:cNvSpPr txBox="1"/>
        </xdr:nvSpPr>
        <xdr:spPr>
          <a:xfrm>
            <a:off x="1123896" y="2675982"/>
            <a:ext cx="1124864" cy="255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Real Sector</a:t>
            </a:r>
          </a:p>
        </xdr:txBody>
      </xdr:sp>
      <xdr:pic>
        <xdr:nvPicPr>
          <xdr:cNvPr id="31" name="Graphic 30" descr="Factory outline">
            <a:extLst>
              <a:ext uri="{FF2B5EF4-FFF2-40B4-BE49-F238E27FC236}">
                <a16:creationId xmlns:a16="http://schemas.microsoft.com/office/drawing/2014/main" id="{37510DDC-6795-E1F0-D90A-C030ECAD08F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421216" y="2225899"/>
            <a:ext cx="527019" cy="535332"/>
          </a:xfrm>
          <a:prstGeom prst="rect">
            <a:avLst/>
          </a:prstGeom>
          <a:effectLst/>
        </xdr:spPr>
      </xdr:pic>
    </xdr:grpSp>
    <xdr:clientData/>
  </xdr:twoCellAnchor>
  <xdr:twoCellAnchor>
    <xdr:from>
      <xdr:col>1</xdr:col>
      <xdr:colOff>493513</xdr:colOff>
      <xdr:row>16</xdr:row>
      <xdr:rowOff>44807</xdr:rowOff>
    </xdr:from>
    <xdr:to>
      <xdr:col>3</xdr:col>
      <xdr:colOff>399177</xdr:colOff>
      <xdr:row>20</xdr:row>
      <xdr:rowOff>10031</xdr:rowOff>
    </xdr:to>
    <xdr:grpSp>
      <xdr:nvGrpSpPr>
        <xdr:cNvPr id="32" name="Group 31">
          <a:hlinkClick xmlns:r="http://schemas.openxmlformats.org/officeDocument/2006/relationships" r:id="rId9"/>
          <a:extLst>
            <a:ext uri="{FF2B5EF4-FFF2-40B4-BE49-F238E27FC236}">
              <a16:creationId xmlns:a16="http://schemas.microsoft.com/office/drawing/2014/main" id="{60A008A5-DD70-4513-A10E-150304D84AB4}"/>
            </a:ext>
          </a:extLst>
        </xdr:cNvPr>
        <xdr:cNvGrpSpPr/>
      </xdr:nvGrpSpPr>
      <xdr:grpSpPr>
        <a:xfrm>
          <a:off x="1103113" y="2940407"/>
          <a:ext cx="1124864" cy="689124"/>
          <a:chOff x="1103113" y="2970887"/>
          <a:chExt cx="1124864" cy="696744"/>
        </a:xfrm>
      </xdr:grpSpPr>
      <xdr:pic>
        <xdr:nvPicPr>
          <xdr:cNvPr id="33" name="Graphic 32" descr="Bank outline">
            <a:extLst>
              <a:ext uri="{FF2B5EF4-FFF2-40B4-BE49-F238E27FC236}">
                <a16:creationId xmlns:a16="http://schemas.microsoft.com/office/drawing/2014/main" id="{4997321F-5952-E016-2392-EEBA6706E30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401163" y="2970887"/>
            <a:ext cx="535254" cy="538929"/>
          </a:xfrm>
          <a:prstGeom prst="rect">
            <a:avLst/>
          </a:prstGeom>
          <a:effectLst/>
        </xdr:spPr>
      </xdr:pic>
      <xdr:sp macro="" textlink="#REF!">
        <xdr:nvSpPr>
          <xdr:cNvPr id="34" name="TextBox 33">
            <a:extLst>
              <a:ext uri="{FF2B5EF4-FFF2-40B4-BE49-F238E27FC236}">
                <a16:creationId xmlns:a16="http://schemas.microsoft.com/office/drawing/2014/main" id="{C4952E1B-F458-6C0E-9C7C-3447CFAC1B92}"/>
              </a:ext>
            </a:extLst>
          </xdr:cNvPr>
          <xdr:cNvSpPr txBox="1"/>
        </xdr:nvSpPr>
        <xdr:spPr>
          <a:xfrm>
            <a:off x="1103113" y="3411300"/>
            <a:ext cx="1124864" cy="256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Monetary</a:t>
            </a:r>
          </a:p>
        </xdr:txBody>
      </xdr:sp>
    </xdr:grpSp>
    <xdr:clientData/>
  </xdr:twoCellAnchor>
  <xdr:twoCellAnchor>
    <xdr:from>
      <xdr:col>1</xdr:col>
      <xdr:colOff>493514</xdr:colOff>
      <xdr:row>20</xdr:row>
      <xdr:rowOff>46105</xdr:rowOff>
    </xdr:from>
    <xdr:to>
      <xdr:col>3</xdr:col>
      <xdr:colOff>399178</xdr:colOff>
      <xdr:row>24</xdr:row>
      <xdr:rowOff>14643</xdr:rowOff>
    </xdr:to>
    <xdr:grpSp>
      <xdr:nvGrpSpPr>
        <xdr:cNvPr id="35" name="Group 34">
          <a:hlinkClick xmlns:r="http://schemas.openxmlformats.org/officeDocument/2006/relationships" r:id="rId12"/>
          <a:extLst>
            <a:ext uri="{FF2B5EF4-FFF2-40B4-BE49-F238E27FC236}">
              <a16:creationId xmlns:a16="http://schemas.microsoft.com/office/drawing/2014/main" id="{368A838B-04E9-448C-A75F-04BA10858EF7}"/>
            </a:ext>
          </a:extLst>
        </xdr:cNvPr>
        <xdr:cNvGrpSpPr/>
      </xdr:nvGrpSpPr>
      <xdr:grpSpPr>
        <a:xfrm>
          <a:off x="1103114" y="3665605"/>
          <a:ext cx="1124864" cy="692438"/>
          <a:chOff x="1103114" y="3703705"/>
          <a:chExt cx="1124864" cy="700058"/>
        </a:xfrm>
      </xdr:grpSpPr>
      <xdr:pic>
        <xdr:nvPicPr>
          <xdr:cNvPr id="36" name="Graphic 35" descr="Upward trend with solid fill">
            <a:extLst>
              <a:ext uri="{FF2B5EF4-FFF2-40B4-BE49-F238E27FC236}">
                <a16:creationId xmlns:a16="http://schemas.microsoft.com/office/drawing/2014/main" id="{27D94D1C-31B7-1C0D-C2A9-CE5FA7CBB14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404870" y="3703705"/>
            <a:ext cx="537654" cy="545967"/>
          </a:xfrm>
          <a:prstGeom prst="rect">
            <a:avLst/>
          </a:prstGeom>
          <a:effectLst>
            <a:glow rad="101600">
              <a:srgbClr val="0575F1">
                <a:alpha val="40000"/>
              </a:srgbClr>
            </a:glow>
          </a:effectLst>
        </xdr:spPr>
      </xdr:pic>
      <xdr:sp macro="" textlink="#REF!">
        <xdr:nvSpPr>
          <xdr:cNvPr id="37" name="TextBox 36">
            <a:extLst>
              <a:ext uri="{FF2B5EF4-FFF2-40B4-BE49-F238E27FC236}">
                <a16:creationId xmlns:a16="http://schemas.microsoft.com/office/drawing/2014/main" id="{7FC35B31-3C24-1E03-FCDA-F9B055110C0D}"/>
              </a:ext>
            </a:extLst>
          </xdr:cNvPr>
          <xdr:cNvSpPr txBox="1"/>
        </xdr:nvSpPr>
        <xdr:spPr>
          <a:xfrm>
            <a:off x="1103114" y="4147432"/>
            <a:ext cx="1124864" cy="256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chemeClr val="bg1"/>
                </a:solidFill>
                <a:latin typeface="Aptos Narrow"/>
                <a:ea typeface="+mn-ea"/>
                <a:cs typeface="+mn-cs"/>
              </a:rPr>
              <a:t>Inflation</a:t>
            </a:r>
          </a:p>
        </xdr:txBody>
      </xdr:sp>
    </xdr:grpSp>
    <xdr:clientData/>
  </xdr:twoCellAnchor>
  <xdr:twoCellAnchor>
    <xdr:from>
      <xdr:col>1</xdr:col>
      <xdr:colOff>521223</xdr:colOff>
      <xdr:row>24</xdr:row>
      <xdr:rowOff>33423</xdr:rowOff>
    </xdr:from>
    <xdr:to>
      <xdr:col>3</xdr:col>
      <xdr:colOff>426887</xdr:colOff>
      <xdr:row>28</xdr:row>
      <xdr:rowOff>19256</xdr:rowOff>
    </xdr:to>
    <xdr:grpSp>
      <xdr:nvGrpSpPr>
        <xdr:cNvPr id="38" name="Group 37">
          <a:hlinkClick xmlns:r="http://schemas.openxmlformats.org/officeDocument/2006/relationships" r:id="rId15"/>
          <a:extLst>
            <a:ext uri="{FF2B5EF4-FFF2-40B4-BE49-F238E27FC236}">
              <a16:creationId xmlns:a16="http://schemas.microsoft.com/office/drawing/2014/main" id="{F89FA4E0-1C3D-46D8-BA59-B0C019902123}"/>
            </a:ext>
          </a:extLst>
        </xdr:cNvPr>
        <xdr:cNvGrpSpPr/>
      </xdr:nvGrpSpPr>
      <xdr:grpSpPr>
        <a:xfrm>
          <a:off x="1130823" y="4376823"/>
          <a:ext cx="1124864" cy="709733"/>
          <a:chOff x="1130823" y="4422543"/>
          <a:chExt cx="1124864" cy="717353"/>
        </a:xfrm>
      </xdr:grpSpPr>
      <xdr:pic>
        <xdr:nvPicPr>
          <xdr:cNvPr id="39" name="Graphic 38" descr="Construction worker male outline">
            <a:extLst>
              <a:ext uri="{FF2B5EF4-FFF2-40B4-BE49-F238E27FC236}">
                <a16:creationId xmlns:a16="http://schemas.microsoft.com/office/drawing/2014/main" id="{01EDDCDB-FD6C-5368-0B45-4FBC46492727}"/>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423402" y="4422543"/>
            <a:ext cx="540054" cy="548367"/>
          </a:xfrm>
          <a:prstGeom prst="rect">
            <a:avLst/>
          </a:prstGeom>
        </xdr:spPr>
      </xdr:pic>
      <xdr:sp macro="" textlink="#REF!">
        <xdr:nvSpPr>
          <xdr:cNvPr id="40" name="TextBox 39">
            <a:extLst>
              <a:ext uri="{FF2B5EF4-FFF2-40B4-BE49-F238E27FC236}">
                <a16:creationId xmlns:a16="http://schemas.microsoft.com/office/drawing/2014/main" id="{DFE01C63-FC45-6419-CE41-BF9185313784}"/>
              </a:ext>
            </a:extLst>
          </xdr:cNvPr>
          <xdr:cNvSpPr txBox="1"/>
        </xdr:nvSpPr>
        <xdr:spPr>
          <a:xfrm>
            <a:off x="1130823" y="4883565"/>
            <a:ext cx="1124864" cy="256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Labour</a:t>
            </a:r>
          </a:p>
        </xdr:txBody>
      </xdr:sp>
    </xdr:grpSp>
    <xdr:clientData/>
  </xdr:twoCellAnchor>
  <xdr:twoCellAnchor>
    <xdr:from>
      <xdr:col>1</xdr:col>
      <xdr:colOff>514296</xdr:colOff>
      <xdr:row>28</xdr:row>
      <xdr:rowOff>41325</xdr:rowOff>
    </xdr:from>
    <xdr:to>
      <xdr:col>3</xdr:col>
      <xdr:colOff>419960</xdr:colOff>
      <xdr:row>32</xdr:row>
      <xdr:rowOff>23868</xdr:rowOff>
    </xdr:to>
    <xdr:grpSp>
      <xdr:nvGrpSpPr>
        <xdr:cNvPr id="41" name="Group 40">
          <a:hlinkClick xmlns:r="http://schemas.openxmlformats.org/officeDocument/2006/relationships" r:id="rId18"/>
          <a:extLst>
            <a:ext uri="{FF2B5EF4-FFF2-40B4-BE49-F238E27FC236}">
              <a16:creationId xmlns:a16="http://schemas.microsoft.com/office/drawing/2014/main" id="{5ECD594B-B14F-4AB4-9934-65B6CDCB206C}"/>
            </a:ext>
          </a:extLst>
        </xdr:cNvPr>
        <xdr:cNvGrpSpPr/>
      </xdr:nvGrpSpPr>
      <xdr:grpSpPr>
        <a:xfrm>
          <a:off x="1123896" y="5108625"/>
          <a:ext cx="1124864" cy="706443"/>
          <a:chOff x="1123896" y="5161965"/>
          <a:chExt cx="1124864" cy="714063"/>
        </a:xfrm>
      </xdr:grpSpPr>
      <xdr:pic>
        <xdr:nvPicPr>
          <xdr:cNvPr id="42" name="Graphic 41" descr="Miscellaneous outline">
            <a:extLst>
              <a:ext uri="{FF2B5EF4-FFF2-40B4-BE49-F238E27FC236}">
                <a16:creationId xmlns:a16="http://schemas.microsoft.com/office/drawing/2014/main" id="{9691AEC2-F9EB-2CE1-25D0-D3366647B8E7}"/>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391164" y="5161965"/>
            <a:ext cx="616527" cy="624839"/>
          </a:xfrm>
          <a:prstGeom prst="rect">
            <a:avLst/>
          </a:prstGeom>
        </xdr:spPr>
      </xdr:pic>
      <xdr:sp macro="" textlink="#REF!">
        <xdr:nvSpPr>
          <xdr:cNvPr id="43" name="TextBox 42">
            <a:extLst>
              <a:ext uri="{FF2B5EF4-FFF2-40B4-BE49-F238E27FC236}">
                <a16:creationId xmlns:a16="http://schemas.microsoft.com/office/drawing/2014/main" id="{E5FA243A-8730-9C08-35E0-1617E9141D8A}"/>
              </a:ext>
            </a:extLst>
          </xdr:cNvPr>
          <xdr:cNvSpPr txBox="1"/>
        </xdr:nvSpPr>
        <xdr:spPr>
          <a:xfrm>
            <a:off x="1123896" y="5619697"/>
            <a:ext cx="1124864" cy="256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External</a:t>
            </a:r>
          </a:p>
        </xdr:txBody>
      </xdr:sp>
    </xdr:grpSp>
    <xdr:clientData/>
  </xdr:twoCellAnchor>
  <xdr:twoCellAnchor>
    <xdr:from>
      <xdr:col>1</xdr:col>
      <xdr:colOff>521224</xdr:colOff>
      <xdr:row>31</xdr:row>
      <xdr:rowOff>149881</xdr:rowOff>
    </xdr:from>
    <xdr:to>
      <xdr:col>3</xdr:col>
      <xdr:colOff>426888</xdr:colOff>
      <xdr:row>36</xdr:row>
      <xdr:rowOff>28481</xdr:rowOff>
    </xdr:to>
    <xdr:grpSp>
      <xdr:nvGrpSpPr>
        <xdr:cNvPr id="44" name="Group 43">
          <a:hlinkClick xmlns:r="http://schemas.openxmlformats.org/officeDocument/2006/relationships" r:id="rId21"/>
          <a:extLst>
            <a:ext uri="{FF2B5EF4-FFF2-40B4-BE49-F238E27FC236}">
              <a16:creationId xmlns:a16="http://schemas.microsoft.com/office/drawing/2014/main" id="{AFDD5658-4EB1-41C9-A9B7-4CF97D2196AF}"/>
            </a:ext>
          </a:extLst>
        </xdr:cNvPr>
        <xdr:cNvGrpSpPr/>
      </xdr:nvGrpSpPr>
      <xdr:grpSpPr>
        <a:xfrm>
          <a:off x="1130824" y="5760106"/>
          <a:ext cx="1124864" cy="783475"/>
          <a:chOff x="1130824" y="5819161"/>
          <a:chExt cx="1124864" cy="793000"/>
        </a:xfrm>
      </xdr:grpSpPr>
      <xdr:pic>
        <xdr:nvPicPr>
          <xdr:cNvPr id="45" name="Graphic 44" descr="Scales of justice outline">
            <a:extLst>
              <a:ext uri="{FF2B5EF4-FFF2-40B4-BE49-F238E27FC236}">
                <a16:creationId xmlns:a16="http://schemas.microsoft.com/office/drawing/2014/main" id="{9D33C290-F63A-19F9-E3B4-6BF94DA69D30}"/>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410764" y="5819161"/>
            <a:ext cx="586418" cy="598317"/>
          </a:xfrm>
          <a:prstGeom prst="rect">
            <a:avLst/>
          </a:prstGeom>
        </xdr:spPr>
      </xdr:pic>
      <xdr:sp macro="" textlink="#REF!">
        <xdr:nvSpPr>
          <xdr:cNvPr id="46" name="TextBox 45">
            <a:extLst>
              <a:ext uri="{FF2B5EF4-FFF2-40B4-BE49-F238E27FC236}">
                <a16:creationId xmlns:a16="http://schemas.microsoft.com/office/drawing/2014/main" id="{4CC821C6-0F24-1A39-D9AB-133D07D50D4E}"/>
              </a:ext>
            </a:extLst>
          </xdr:cNvPr>
          <xdr:cNvSpPr txBox="1"/>
        </xdr:nvSpPr>
        <xdr:spPr>
          <a:xfrm>
            <a:off x="1130824" y="6355830"/>
            <a:ext cx="1124864" cy="256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Fiscal</a:t>
            </a:r>
          </a:p>
        </xdr:txBody>
      </xdr:sp>
    </xdr:grpSp>
    <xdr:clientData/>
  </xdr:twoCellAnchor>
  <xdr:twoCellAnchor>
    <xdr:from>
      <xdr:col>1</xdr:col>
      <xdr:colOff>521224</xdr:colOff>
      <xdr:row>36</xdr:row>
      <xdr:rowOff>57807</xdr:rowOff>
    </xdr:from>
    <xdr:to>
      <xdr:col>3</xdr:col>
      <xdr:colOff>426888</xdr:colOff>
      <xdr:row>40</xdr:row>
      <xdr:rowOff>29510</xdr:rowOff>
    </xdr:to>
    <xdr:grpSp>
      <xdr:nvGrpSpPr>
        <xdr:cNvPr id="47" name="Group 46">
          <a:hlinkClick xmlns:r="http://schemas.openxmlformats.org/officeDocument/2006/relationships" r:id="rId24"/>
          <a:extLst>
            <a:ext uri="{FF2B5EF4-FFF2-40B4-BE49-F238E27FC236}">
              <a16:creationId xmlns:a16="http://schemas.microsoft.com/office/drawing/2014/main" id="{39C419A6-6923-4E0E-99E1-1334574FC59F}"/>
            </a:ext>
          </a:extLst>
        </xdr:cNvPr>
        <xdr:cNvGrpSpPr/>
      </xdr:nvGrpSpPr>
      <xdr:grpSpPr>
        <a:xfrm>
          <a:off x="1130824" y="6572907"/>
          <a:ext cx="1124864" cy="695603"/>
          <a:chOff x="1130824" y="6641487"/>
          <a:chExt cx="1124864" cy="703223"/>
        </a:xfrm>
      </xdr:grpSpPr>
      <xdr:pic>
        <xdr:nvPicPr>
          <xdr:cNvPr id="48" name="Graphic 47" descr="Closed book outline">
            <a:extLst>
              <a:ext uri="{FF2B5EF4-FFF2-40B4-BE49-F238E27FC236}">
                <a16:creationId xmlns:a16="http://schemas.microsoft.com/office/drawing/2014/main" id="{DD8CDFCD-D872-5D1A-4015-4448FAAD06C5}"/>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1417845" y="6641487"/>
            <a:ext cx="508802" cy="516057"/>
          </a:xfrm>
          <a:prstGeom prst="rect">
            <a:avLst/>
          </a:prstGeom>
        </xdr:spPr>
      </xdr:pic>
      <xdr:sp macro="" textlink="#REF!">
        <xdr:nvSpPr>
          <xdr:cNvPr id="49" name="TextBox 48">
            <a:extLst>
              <a:ext uri="{FF2B5EF4-FFF2-40B4-BE49-F238E27FC236}">
                <a16:creationId xmlns:a16="http://schemas.microsoft.com/office/drawing/2014/main" id="{AA9ED58B-8175-AD27-CAB3-2041DFFD30FF}"/>
              </a:ext>
            </a:extLst>
          </xdr:cNvPr>
          <xdr:cNvSpPr txBox="1"/>
        </xdr:nvSpPr>
        <xdr:spPr>
          <a:xfrm>
            <a:off x="1130824" y="7091965"/>
            <a:ext cx="1124864" cy="252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Summary</a:t>
            </a:r>
          </a:p>
        </xdr:txBody>
      </xdr:sp>
    </xdr:grpSp>
    <xdr:clientData/>
  </xdr:twoCellAnchor>
  <xdr:twoCellAnchor>
    <xdr:from>
      <xdr:col>13</xdr:col>
      <xdr:colOff>441832</xdr:colOff>
      <xdr:row>13</xdr:row>
      <xdr:rowOff>24406</xdr:rowOff>
    </xdr:from>
    <xdr:to>
      <xdr:col>22</xdr:col>
      <xdr:colOff>224118</xdr:colOff>
      <xdr:row>27</xdr:row>
      <xdr:rowOff>66675</xdr:rowOff>
    </xdr:to>
    <xdr:sp macro="" textlink="">
      <xdr:nvSpPr>
        <xdr:cNvPr id="51" name="Rectangle: Rounded Corners 50">
          <a:extLst>
            <a:ext uri="{FF2B5EF4-FFF2-40B4-BE49-F238E27FC236}">
              <a16:creationId xmlns:a16="http://schemas.microsoft.com/office/drawing/2014/main" id="{20051777-4CE1-8F56-A7E7-BD0C394FAC75}"/>
            </a:ext>
          </a:extLst>
        </xdr:cNvPr>
        <xdr:cNvSpPr/>
      </xdr:nvSpPr>
      <xdr:spPr>
        <a:xfrm>
          <a:off x="8366632" y="2377081"/>
          <a:ext cx="5268686" cy="2575919"/>
        </a:xfrm>
        <a:prstGeom prst="roundRect">
          <a:avLst>
            <a:gd name="adj" fmla="val 7394"/>
          </a:avLst>
        </a:prstGeom>
        <a:gradFill>
          <a:gsLst>
            <a:gs pos="0">
              <a:srgbClr val="323687"/>
            </a:gs>
            <a:gs pos="88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editAs="oneCell">
    <xdr:from>
      <xdr:col>4</xdr:col>
      <xdr:colOff>233079</xdr:colOff>
      <xdr:row>4</xdr:row>
      <xdr:rowOff>144781</xdr:rowOff>
    </xdr:from>
    <xdr:to>
      <xdr:col>22</xdr:col>
      <xdr:colOff>17928</xdr:colOff>
      <xdr:row>11</xdr:row>
      <xdr:rowOff>17929</xdr:rowOff>
    </xdr:to>
    <mc:AlternateContent xmlns:mc="http://schemas.openxmlformats.org/markup-compatibility/2006" xmlns:a14="http://schemas.microsoft.com/office/drawing/2010/main">
      <mc:Choice Requires="a14">
        <xdr:graphicFrame macro="">
          <xdr:nvGraphicFramePr>
            <xdr:cNvPr id="55" name="Year 3">
              <a:extLst>
                <a:ext uri="{FF2B5EF4-FFF2-40B4-BE49-F238E27FC236}">
                  <a16:creationId xmlns:a16="http://schemas.microsoft.com/office/drawing/2014/main" id="{DB3406D5-C8D1-4ADC-9BDE-267ECCB74A20}"/>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2671479" y="868681"/>
              <a:ext cx="10757649" cy="11399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514351</xdr:colOff>
      <xdr:row>12</xdr:row>
      <xdr:rowOff>152400</xdr:rowOff>
    </xdr:from>
    <xdr:to>
      <xdr:col>22</xdr:col>
      <xdr:colOff>123825</xdr:colOff>
      <xdr:row>26</xdr:row>
      <xdr:rowOff>161925</xdr:rowOff>
    </xdr:to>
    <xdr:graphicFrame macro="">
      <xdr:nvGraphicFramePr>
        <xdr:cNvPr id="68" name="Chart 67">
          <a:extLst>
            <a:ext uri="{FF2B5EF4-FFF2-40B4-BE49-F238E27FC236}">
              <a16:creationId xmlns:a16="http://schemas.microsoft.com/office/drawing/2014/main" id="{DCA55A66-BF35-4D5C-9E50-EE373625BC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13</xdr:col>
      <xdr:colOff>403732</xdr:colOff>
      <xdr:row>27</xdr:row>
      <xdr:rowOff>161925</xdr:rowOff>
    </xdr:from>
    <xdr:to>
      <xdr:col>22</xdr:col>
      <xdr:colOff>186018</xdr:colOff>
      <xdr:row>42</xdr:row>
      <xdr:rowOff>135143</xdr:rowOff>
    </xdr:to>
    <xdr:sp macro="" textlink="">
      <xdr:nvSpPr>
        <xdr:cNvPr id="69" name="Rectangle: Rounded Corners 68">
          <a:extLst>
            <a:ext uri="{FF2B5EF4-FFF2-40B4-BE49-F238E27FC236}">
              <a16:creationId xmlns:a16="http://schemas.microsoft.com/office/drawing/2014/main" id="{3A960EE7-E957-BE7A-E2FB-05593E7935BE}"/>
            </a:ext>
          </a:extLst>
        </xdr:cNvPr>
        <xdr:cNvSpPr/>
      </xdr:nvSpPr>
      <xdr:spPr>
        <a:xfrm>
          <a:off x="8328532" y="5048250"/>
          <a:ext cx="5268686" cy="2687843"/>
        </a:xfrm>
        <a:prstGeom prst="roundRect">
          <a:avLst>
            <a:gd name="adj" fmla="val 7394"/>
          </a:avLst>
        </a:prstGeom>
        <a:gradFill>
          <a:gsLst>
            <a:gs pos="0">
              <a:srgbClr val="323687"/>
            </a:gs>
            <a:gs pos="88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13</xdr:col>
      <xdr:colOff>485775</xdr:colOff>
      <xdr:row>27</xdr:row>
      <xdr:rowOff>161925</xdr:rowOff>
    </xdr:from>
    <xdr:to>
      <xdr:col>22</xdr:col>
      <xdr:colOff>209550</xdr:colOff>
      <xdr:row>42</xdr:row>
      <xdr:rowOff>66675</xdr:rowOff>
    </xdr:to>
    <xdr:graphicFrame macro="">
      <xdr:nvGraphicFramePr>
        <xdr:cNvPr id="70" name="Chart 69">
          <a:extLst>
            <a:ext uri="{FF2B5EF4-FFF2-40B4-BE49-F238E27FC236}">
              <a16:creationId xmlns:a16="http://schemas.microsoft.com/office/drawing/2014/main" id="{F10A3399-E8B9-44FA-B1D7-39B8DC69C3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4</xdr:col>
      <xdr:colOff>171450</xdr:colOff>
      <xdr:row>13</xdr:row>
      <xdr:rowOff>95249</xdr:rowOff>
    </xdr:from>
    <xdr:to>
      <xdr:col>13</xdr:col>
      <xdr:colOff>180975</xdr:colOff>
      <xdr:row>42</xdr:row>
      <xdr:rowOff>19049</xdr:rowOff>
    </xdr:to>
    <xdr:graphicFrame macro="">
      <xdr:nvGraphicFramePr>
        <xdr:cNvPr id="71" name="Chart 70">
          <a:extLst>
            <a:ext uri="{FF2B5EF4-FFF2-40B4-BE49-F238E27FC236}">
              <a16:creationId xmlns:a16="http://schemas.microsoft.com/office/drawing/2014/main" id="{3F54AAD2-8BE4-4991-8703-1059D91AE0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464820</xdr:colOff>
      <xdr:row>1</xdr:row>
      <xdr:rowOff>83820</xdr:rowOff>
    </xdr:from>
    <xdr:to>
      <xdr:col>1</xdr:col>
      <xdr:colOff>495300</xdr:colOff>
      <xdr:row>3</xdr:row>
      <xdr:rowOff>53340</xdr:rowOff>
    </xdr:to>
    <xdr:sp macro="" textlink="">
      <xdr:nvSpPr>
        <xdr:cNvPr id="2" name="Rectangle 1">
          <a:extLst>
            <a:ext uri="{FF2B5EF4-FFF2-40B4-BE49-F238E27FC236}">
              <a16:creationId xmlns:a16="http://schemas.microsoft.com/office/drawing/2014/main" id="{688A6F8B-4879-4477-89BD-E81537A82231}"/>
            </a:ext>
          </a:extLst>
        </xdr:cNvPr>
        <xdr:cNvSpPr/>
      </xdr:nvSpPr>
      <xdr:spPr>
        <a:xfrm>
          <a:off x="464820" y="266700"/>
          <a:ext cx="640080" cy="335280"/>
        </a:xfrm>
        <a:prstGeom prst="rect">
          <a:avLst/>
        </a:prstGeom>
        <a:solidFill>
          <a:srgbClr val="1214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392238</xdr:colOff>
      <xdr:row>0</xdr:row>
      <xdr:rowOff>167640</xdr:rowOff>
    </xdr:from>
    <xdr:to>
      <xdr:col>23</xdr:col>
      <xdr:colOff>156018</xdr:colOff>
      <xdr:row>45</xdr:row>
      <xdr:rowOff>53340</xdr:rowOff>
    </xdr:to>
    <xdr:sp macro="" textlink="">
      <xdr:nvSpPr>
        <xdr:cNvPr id="3" name="Rectangle: Rounded Corners 2">
          <a:extLst>
            <a:ext uri="{FF2B5EF4-FFF2-40B4-BE49-F238E27FC236}">
              <a16:creationId xmlns:a16="http://schemas.microsoft.com/office/drawing/2014/main" id="{0C1480CE-0A5E-4B11-B79A-BDE8AB8D657F}"/>
            </a:ext>
          </a:extLst>
        </xdr:cNvPr>
        <xdr:cNvSpPr/>
      </xdr:nvSpPr>
      <xdr:spPr>
        <a:xfrm>
          <a:off x="392238" y="167640"/>
          <a:ext cx="13784580" cy="8115300"/>
        </a:xfrm>
        <a:prstGeom prst="roundRect">
          <a:avLst>
            <a:gd name="adj" fmla="val 6581"/>
          </a:avLst>
        </a:prstGeom>
        <a:gradFill flip="none" rotWithShape="1">
          <a:gsLst>
            <a:gs pos="0">
              <a:srgbClr val="1F2357"/>
            </a:gs>
            <a:gs pos="75000">
              <a:srgbClr val="10123B"/>
            </a:gs>
          </a:gsLst>
          <a:lin ang="8100000" scaled="1"/>
          <a:tileRect/>
        </a:gradFill>
        <a:ln w="9525">
          <a:gradFill flip="none" rotWithShape="1">
            <a:gsLst>
              <a:gs pos="0">
                <a:srgbClr val="4647A6"/>
              </a:gs>
              <a:gs pos="100000">
                <a:srgbClr val="333787"/>
              </a:gs>
            </a:gsLst>
            <a:lin ang="8100000" scaled="1"/>
            <a:tileRect/>
          </a:grad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ru-RU"/>
            <a:t> </a:t>
          </a:r>
        </a:p>
      </xdr:txBody>
    </xdr:sp>
    <xdr:clientData/>
  </xdr:twoCellAnchor>
  <xdr:twoCellAnchor>
    <xdr:from>
      <xdr:col>1</xdr:col>
      <xdr:colOff>116097</xdr:colOff>
      <xdr:row>2</xdr:row>
      <xdr:rowOff>100664</xdr:rowOff>
    </xdr:from>
    <xdr:to>
      <xdr:col>22</xdr:col>
      <xdr:colOff>458997</xdr:colOff>
      <xdr:row>43</xdr:row>
      <xdr:rowOff>99059</xdr:rowOff>
    </xdr:to>
    <xdr:sp macro="" textlink="">
      <xdr:nvSpPr>
        <xdr:cNvPr id="4" name="Rectangle: Rounded Corners 3">
          <a:extLst>
            <a:ext uri="{FF2B5EF4-FFF2-40B4-BE49-F238E27FC236}">
              <a16:creationId xmlns:a16="http://schemas.microsoft.com/office/drawing/2014/main" id="{54EF937F-D9AD-40EB-9932-2E32C6CB9D7D}"/>
            </a:ext>
          </a:extLst>
        </xdr:cNvPr>
        <xdr:cNvSpPr/>
      </xdr:nvSpPr>
      <xdr:spPr>
        <a:xfrm>
          <a:off x="725697" y="466424"/>
          <a:ext cx="13144500" cy="7496475"/>
        </a:xfrm>
        <a:prstGeom prst="roundRect">
          <a:avLst>
            <a:gd name="adj" fmla="val 5042"/>
          </a:avLst>
        </a:prstGeom>
        <a:gradFill flip="none" rotWithShape="1">
          <a:gsLst>
            <a:gs pos="0">
              <a:srgbClr val="20245A"/>
            </a:gs>
            <a:gs pos="75000">
              <a:srgbClr val="10123B"/>
            </a:gs>
          </a:gsLst>
          <a:lin ang="8100000" scaled="1"/>
          <a:tileRect/>
        </a:gradFill>
        <a:ln w="9525">
          <a:gradFill flip="none" rotWithShape="1">
            <a:gsLst>
              <a:gs pos="0">
                <a:srgbClr val="B9C1FF"/>
              </a:gs>
              <a:gs pos="33000">
                <a:srgbClr val="3D4098"/>
              </a:gs>
              <a:gs pos="100000">
                <a:srgbClr val="333787"/>
              </a:gs>
            </a:gsLst>
            <a:lin ang="9000000" scaled="0"/>
            <a:tileRect/>
          </a:gradFill>
        </a:ln>
        <a:effectLst>
          <a:outerShdw blurRad="2540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99060</xdr:colOff>
      <xdr:row>4</xdr:row>
      <xdr:rowOff>23019</xdr:rowOff>
    </xdr:from>
    <xdr:to>
      <xdr:col>22</xdr:col>
      <xdr:colOff>183490</xdr:colOff>
      <xdr:row>11</xdr:row>
      <xdr:rowOff>125506</xdr:rowOff>
    </xdr:to>
    <xdr:sp macro="" textlink="">
      <xdr:nvSpPr>
        <xdr:cNvPr id="5" name="Rectangle: Rounded Corners 4">
          <a:extLst>
            <a:ext uri="{FF2B5EF4-FFF2-40B4-BE49-F238E27FC236}">
              <a16:creationId xmlns:a16="http://schemas.microsoft.com/office/drawing/2014/main" id="{BEFC1300-4D6C-4DFA-A952-9DFD14D2EA54}"/>
            </a:ext>
          </a:extLst>
        </xdr:cNvPr>
        <xdr:cNvSpPr/>
      </xdr:nvSpPr>
      <xdr:spPr>
        <a:xfrm>
          <a:off x="2537460" y="754539"/>
          <a:ext cx="11057230" cy="1382647"/>
        </a:xfrm>
        <a:prstGeom prst="roundRect">
          <a:avLst>
            <a:gd name="adj" fmla="val 14979"/>
          </a:avLst>
        </a:prstGeom>
        <a:gradFill>
          <a:gsLst>
            <a:gs pos="97000">
              <a:srgbClr val="2C3076"/>
            </a:gs>
            <a:gs pos="5000">
              <a:srgbClr val="2C3076"/>
            </a:gs>
            <a:gs pos="0">
              <a:srgbClr val="323687"/>
            </a:gs>
            <a:gs pos="100000">
              <a:srgbClr val="22255C"/>
            </a:gs>
          </a:gsLst>
          <a:lin ang="108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132193</xdr:colOff>
      <xdr:row>13</xdr:row>
      <xdr:rowOff>22088</xdr:rowOff>
    </xdr:from>
    <xdr:to>
      <xdr:col>22</xdr:col>
      <xdr:colOff>161925</xdr:colOff>
      <xdr:row>29</xdr:row>
      <xdr:rowOff>9525</xdr:rowOff>
    </xdr:to>
    <xdr:sp macro="" textlink="">
      <xdr:nvSpPr>
        <xdr:cNvPr id="6" name="Rectangle: Rounded Corners 5">
          <a:extLst>
            <a:ext uri="{FF2B5EF4-FFF2-40B4-BE49-F238E27FC236}">
              <a16:creationId xmlns:a16="http://schemas.microsoft.com/office/drawing/2014/main" id="{64AF59E6-A5BF-4CE1-AA24-F0463F9F7CA1}"/>
            </a:ext>
          </a:extLst>
        </xdr:cNvPr>
        <xdr:cNvSpPr/>
      </xdr:nvSpPr>
      <xdr:spPr>
        <a:xfrm>
          <a:off x="2570593" y="2374763"/>
          <a:ext cx="11002532" cy="2883037"/>
        </a:xfrm>
        <a:prstGeom prst="roundRect">
          <a:avLst>
            <a:gd name="adj" fmla="val 5056"/>
          </a:avLst>
        </a:prstGeom>
        <a:gradFill>
          <a:gsLst>
            <a:gs pos="0">
              <a:srgbClr val="323687"/>
            </a:gs>
            <a:gs pos="75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435597</xdr:colOff>
      <xdr:row>7</xdr:row>
      <xdr:rowOff>161730</xdr:rowOff>
    </xdr:from>
    <xdr:to>
      <xdr:col>3</xdr:col>
      <xdr:colOff>498058</xdr:colOff>
      <xdr:row>42</xdr:row>
      <xdr:rowOff>38100</xdr:rowOff>
    </xdr:to>
    <xdr:sp macro="" textlink="">
      <xdr:nvSpPr>
        <xdr:cNvPr id="9" name="Rectangle: Rounded Corners 8">
          <a:extLst>
            <a:ext uri="{FF2B5EF4-FFF2-40B4-BE49-F238E27FC236}">
              <a16:creationId xmlns:a16="http://schemas.microsoft.com/office/drawing/2014/main" id="{184528A9-669A-4E9B-A61B-9269F5E797AB}"/>
            </a:ext>
          </a:extLst>
        </xdr:cNvPr>
        <xdr:cNvSpPr/>
      </xdr:nvSpPr>
      <xdr:spPr>
        <a:xfrm>
          <a:off x="1045197" y="1441890"/>
          <a:ext cx="1281661" cy="6277170"/>
        </a:xfrm>
        <a:prstGeom prst="roundRect">
          <a:avLst>
            <a:gd name="adj" fmla="val 18817"/>
          </a:avLst>
        </a:prstGeom>
        <a:gradFill>
          <a:gsLst>
            <a:gs pos="0">
              <a:srgbClr val="2E317C"/>
            </a:gs>
            <a:gs pos="23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500140</xdr:colOff>
      <xdr:row>8</xdr:row>
      <xdr:rowOff>90747</xdr:rowOff>
    </xdr:from>
    <xdr:to>
      <xdr:col>3</xdr:col>
      <xdr:colOff>405804</xdr:colOff>
      <xdr:row>12</xdr:row>
      <xdr:rowOff>1621</xdr:rowOff>
    </xdr:to>
    <xdr:grpSp>
      <xdr:nvGrpSpPr>
        <xdr:cNvPr id="10" name="Group 9">
          <a:hlinkClick xmlns:r="http://schemas.openxmlformats.org/officeDocument/2006/relationships" r:id="rId1"/>
          <a:extLst>
            <a:ext uri="{FF2B5EF4-FFF2-40B4-BE49-F238E27FC236}">
              <a16:creationId xmlns:a16="http://schemas.microsoft.com/office/drawing/2014/main" id="{BF65EDD8-F3F3-411D-9844-F0D47085E396}"/>
            </a:ext>
          </a:extLst>
        </xdr:cNvPr>
        <xdr:cNvGrpSpPr/>
      </xdr:nvGrpSpPr>
      <xdr:grpSpPr>
        <a:xfrm>
          <a:off x="1109740" y="1538547"/>
          <a:ext cx="1124864" cy="634774"/>
          <a:chOff x="1109740" y="1553787"/>
          <a:chExt cx="1124864" cy="642394"/>
        </a:xfrm>
      </xdr:grpSpPr>
      <xdr:pic>
        <xdr:nvPicPr>
          <xdr:cNvPr id="11" name="Graphic 10" descr="Home with solid fill">
            <a:extLst>
              <a:ext uri="{FF2B5EF4-FFF2-40B4-BE49-F238E27FC236}">
                <a16:creationId xmlns:a16="http://schemas.microsoft.com/office/drawing/2014/main" id="{3CA4786A-9254-B0CE-127D-39EC1F366EE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56113" y="1553787"/>
            <a:ext cx="426720" cy="426720"/>
          </a:xfrm>
          <a:prstGeom prst="rect">
            <a:avLst/>
          </a:prstGeom>
          <a:effectLst/>
        </xdr:spPr>
      </xdr:pic>
      <xdr:sp macro="" textlink="#REF!">
        <xdr:nvSpPr>
          <xdr:cNvPr id="12" name="TextBox 11">
            <a:extLst>
              <a:ext uri="{FF2B5EF4-FFF2-40B4-BE49-F238E27FC236}">
                <a16:creationId xmlns:a16="http://schemas.microsoft.com/office/drawing/2014/main" id="{B90298F7-64EB-8652-BAED-D4859B8D5796}"/>
              </a:ext>
            </a:extLst>
          </xdr:cNvPr>
          <xdr:cNvSpPr txBox="1"/>
        </xdr:nvSpPr>
        <xdr:spPr>
          <a:xfrm>
            <a:off x="1109740" y="1935244"/>
            <a:ext cx="1124864" cy="260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3D42D12-6D1C-4BD6-BF7A-FB3615575702}" type="TxLink">
              <a:rPr lang="en-US" sz="1400" b="0" i="0" u="none" strike="noStrike">
                <a:solidFill>
                  <a:srgbClr val="6372A4"/>
                </a:solidFill>
                <a:latin typeface="Aptos Narrow"/>
                <a:ea typeface="+mn-ea"/>
                <a:cs typeface="+mn-cs"/>
              </a:rPr>
              <a:pPr marL="0" indent="0" algn="ctr"/>
              <a:t>Dashboard</a:t>
            </a:fld>
            <a:endParaRPr lang="ru-RU" sz="1400" b="0" i="0" u="none" strike="noStrike">
              <a:solidFill>
                <a:srgbClr val="6372A4"/>
              </a:solidFill>
              <a:latin typeface="Aptos Narrow"/>
              <a:ea typeface="+mn-ea"/>
              <a:cs typeface="+mn-cs"/>
            </a:endParaRPr>
          </a:p>
        </xdr:txBody>
      </xdr:sp>
    </xdr:grpSp>
    <xdr:clientData/>
  </xdr:twoCellAnchor>
  <xdr:twoCellAnchor>
    <xdr:from>
      <xdr:col>14</xdr:col>
      <xdr:colOff>604780</xdr:colOff>
      <xdr:row>13</xdr:row>
      <xdr:rowOff>7620</xdr:rowOff>
    </xdr:from>
    <xdr:to>
      <xdr:col>16</xdr:col>
      <xdr:colOff>363532</xdr:colOff>
      <xdr:row>14</xdr:row>
      <xdr:rowOff>82906</xdr:rowOff>
    </xdr:to>
    <xdr:sp macro="" textlink="$C$60">
      <xdr:nvSpPr>
        <xdr:cNvPr id="13" name="TextBox 12">
          <a:extLst>
            <a:ext uri="{FF2B5EF4-FFF2-40B4-BE49-F238E27FC236}">
              <a16:creationId xmlns:a16="http://schemas.microsoft.com/office/drawing/2014/main" id="{5D80140A-782E-4AB0-9A68-AC7519F545E1}"/>
            </a:ext>
          </a:extLst>
        </xdr:cNvPr>
        <xdr:cNvSpPr txBox="1"/>
      </xdr:nvSpPr>
      <xdr:spPr>
        <a:xfrm>
          <a:off x="9139180" y="2385060"/>
          <a:ext cx="977952"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A33B9D-F834-4294-BE87-29F6752F0B43}" type="TxLink">
            <a:rPr lang="en-US" sz="1200" b="0" i="0" u="none" strike="noStrike">
              <a:solidFill>
                <a:schemeClr val="tx2">
                  <a:lumMod val="25000"/>
                  <a:lumOff val="75000"/>
                </a:schemeClr>
              </a:solidFill>
              <a:latin typeface="Aptos Narrow"/>
            </a:rPr>
            <a:pPr algn="ctr"/>
            <a:t> </a:t>
          </a:fld>
          <a:endParaRPr lang="ru-RU" sz="1600" b="0">
            <a:solidFill>
              <a:schemeClr val="tx2">
                <a:lumMod val="25000"/>
                <a:lumOff val="75000"/>
              </a:schemeClr>
            </a:solidFill>
          </a:endParaRPr>
        </a:p>
      </xdr:txBody>
    </xdr:sp>
    <xdr:clientData/>
  </xdr:twoCellAnchor>
  <xdr:twoCellAnchor>
    <xdr:from>
      <xdr:col>14</xdr:col>
      <xdr:colOff>604780</xdr:colOff>
      <xdr:row>14</xdr:row>
      <xdr:rowOff>63292</xdr:rowOff>
    </xdr:from>
    <xdr:to>
      <xdr:col>16</xdr:col>
      <xdr:colOff>363532</xdr:colOff>
      <xdr:row>15</xdr:row>
      <xdr:rowOff>164395</xdr:rowOff>
    </xdr:to>
    <xdr:sp macro="" textlink="$D$55">
      <xdr:nvSpPr>
        <xdr:cNvPr id="14" name="TextBox 13">
          <a:extLst>
            <a:ext uri="{FF2B5EF4-FFF2-40B4-BE49-F238E27FC236}">
              <a16:creationId xmlns:a16="http://schemas.microsoft.com/office/drawing/2014/main" id="{5869945F-BB9A-456C-B8B5-F54830BD7F7F}"/>
            </a:ext>
          </a:extLst>
        </xdr:cNvPr>
        <xdr:cNvSpPr txBox="1"/>
      </xdr:nvSpPr>
      <xdr:spPr>
        <a:xfrm>
          <a:off x="9139180" y="2623612"/>
          <a:ext cx="977952" cy="28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C2A362-1984-4E0F-B2F1-1722CB1B7A1B}" type="TxLink">
            <a:rPr lang="en-US" sz="2400" b="0" i="0" u="none" strike="noStrike">
              <a:solidFill>
                <a:schemeClr val="bg1"/>
              </a:solidFill>
              <a:latin typeface="Aptos Narrow"/>
            </a:rPr>
            <a:pPr algn="ctr"/>
            <a:t> </a:t>
          </a:fld>
          <a:endParaRPr lang="ru-RU" sz="2400" b="0">
            <a:solidFill>
              <a:schemeClr val="bg1"/>
            </a:solidFill>
          </a:endParaRPr>
        </a:p>
      </xdr:txBody>
    </xdr:sp>
    <xdr:clientData/>
  </xdr:twoCellAnchor>
  <xdr:twoCellAnchor>
    <xdr:from>
      <xdr:col>7</xdr:col>
      <xdr:colOff>332740</xdr:colOff>
      <xdr:row>20</xdr:row>
      <xdr:rowOff>124968</xdr:rowOff>
    </xdr:from>
    <xdr:to>
      <xdr:col>13</xdr:col>
      <xdr:colOff>434341</xdr:colOff>
      <xdr:row>34</xdr:row>
      <xdr:rowOff>45720</xdr:rowOff>
    </xdr:to>
    <xdr:graphicFrame macro="">
      <xdr:nvGraphicFramePr>
        <xdr:cNvPr id="15" name="Chart 14" hidden="1">
          <a:extLst>
            <a:ext uri="{FF2B5EF4-FFF2-40B4-BE49-F238E27FC236}">
              <a16:creationId xmlns:a16="http://schemas.microsoft.com/office/drawing/2014/main" id="{95D1C85E-BC36-4C32-8BF6-8985CFF16C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392614</xdr:colOff>
      <xdr:row>25</xdr:row>
      <xdr:rowOff>63955</xdr:rowOff>
    </xdr:from>
    <xdr:to>
      <xdr:col>15</xdr:col>
      <xdr:colOff>404806</xdr:colOff>
      <xdr:row>29</xdr:row>
      <xdr:rowOff>127963</xdr:rowOff>
    </xdr:to>
    <xdr:sp macro="" textlink="$D$76">
      <xdr:nvSpPr>
        <xdr:cNvPr id="16" name="TextBox 15">
          <a:extLst>
            <a:ext uri="{FF2B5EF4-FFF2-40B4-BE49-F238E27FC236}">
              <a16:creationId xmlns:a16="http://schemas.microsoft.com/office/drawing/2014/main" id="{86DFC7EC-7BB6-4E36-8D3D-A3082A2EB0E0}"/>
            </a:ext>
          </a:extLst>
        </xdr:cNvPr>
        <xdr:cNvSpPr txBox="1"/>
      </xdr:nvSpPr>
      <xdr:spPr>
        <a:xfrm>
          <a:off x="8927014" y="4635955"/>
          <a:ext cx="621792" cy="795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1AC67DD-5614-4ED2-B1AD-9682E26BEFA2}" type="TxLink">
            <a:rPr lang="en-US" sz="800" b="0" i="0" u="none" strike="noStrike">
              <a:solidFill>
                <a:schemeClr val="tx2">
                  <a:lumMod val="25000"/>
                  <a:lumOff val="75000"/>
                </a:schemeClr>
              </a:solidFill>
              <a:latin typeface="Aptos Narrow"/>
            </a:rPr>
            <a:pPr algn="l"/>
            <a:t> </a:t>
          </a:fld>
          <a:endParaRPr lang="ru-RU" sz="800" b="0">
            <a:solidFill>
              <a:schemeClr val="tx2">
                <a:lumMod val="25000"/>
                <a:lumOff val="75000"/>
              </a:schemeClr>
            </a:solidFill>
          </a:endParaRPr>
        </a:p>
      </xdr:txBody>
    </xdr:sp>
    <xdr:clientData/>
  </xdr:twoCellAnchor>
  <xdr:twoCellAnchor>
    <xdr:from>
      <xdr:col>19</xdr:col>
      <xdr:colOff>34668</xdr:colOff>
      <xdr:row>22</xdr:row>
      <xdr:rowOff>147769</xdr:rowOff>
    </xdr:from>
    <xdr:to>
      <xdr:col>20</xdr:col>
      <xdr:colOff>447672</xdr:colOff>
      <xdr:row>24</xdr:row>
      <xdr:rowOff>40175</xdr:rowOff>
    </xdr:to>
    <xdr:sp macro="" textlink="$A$53">
      <xdr:nvSpPr>
        <xdr:cNvPr id="17" name="TextBox 16">
          <a:extLst>
            <a:ext uri="{FF2B5EF4-FFF2-40B4-BE49-F238E27FC236}">
              <a16:creationId xmlns:a16="http://schemas.microsoft.com/office/drawing/2014/main" id="{D1DBF096-ECBE-48CA-A635-44530C2F5FD9}"/>
            </a:ext>
          </a:extLst>
        </xdr:cNvPr>
        <xdr:cNvSpPr txBox="1"/>
      </xdr:nvSpPr>
      <xdr:spPr>
        <a:xfrm>
          <a:off x="11617068" y="4171129"/>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1732DB7-45E1-47AD-8A64-12C1477C1F51}" type="TxLink">
            <a:rPr lang="en-US" sz="1400" b="0" i="0" u="none" strike="noStrike">
              <a:solidFill>
                <a:schemeClr val="tx2">
                  <a:lumMod val="25000"/>
                  <a:lumOff val="75000"/>
                </a:schemeClr>
              </a:solidFill>
              <a:latin typeface="Aptos Narrow"/>
            </a:rPr>
            <a:pPr algn="l"/>
            <a:t> </a:t>
          </a:fld>
          <a:endParaRPr lang="ru-RU" sz="2000">
            <a:solidFill>
              <a:schemeClr val="tx2">
                <a:lumMod val="25000"/>
                <a:lumOff val="75000"/>
              </a:schemeClr>
            </a:solidFill>
          </a:endParaRPr>
        </a:p>
      </xdr:txBody>
    </xdr:sp>
    <xdr:clientData/>
  </xdr:twoCellAnchor>
  <xdr:twoCellAnchor>
    <xdr:from>
      <xdr:col>19</xdr:col>
      <xdr:colOff>34668</xdr:colOff>
      <xdr:row>25</xdr:row>
      <xdr:rowOff>48666</xdr:rowOff>
    </xdr:from>
    <xdr:to>
      <xdr:col>20</xdr:col>
      <xdr:colOff>447672</xdr:colOff>
      <xdr:row>26</xdr:row>
      <xdr:rowOff>123952</xdr:rowOff>
    </xdr:to>
    <xdr:sp macro="" textlink="$A$54">
      <xdr:nvSpPr>
        <xdr:cNvPr id="18" name="TextBox 17">
          <a:extLst>
            <a:ext uri="{FF2B5EF4-FFF2-40B4-BE49-F238E27FC236}">
              <a16:creationId xmlns:a16="http://schemas.microsoft.com/office/drawing/2014/main" id="{EE303B03-1083-4F2B-AC88-746976BCE143}"/>
            </a:ext>
          </a:extLst>
        </xdr:cNvPr>
        <xdr:cNvSpPr txBox="1"/>
      </xdr:nvSpPr>
      <xdr:spPr>
        <a:xfrm>
          <a:off x="11617068" y="4620666"/>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4132016-B00B-4926-87EE-A0F664231BBC}" type="TxLink">
            <a:rPr lang="en-US" sz="1400" b="0" i="0" u="none" strike="noStrike">
              <a:solidFill>
                <a:schemeClr val="tx2">
                  <a:lumMod val="25000"/>
                  <a:lumOff val="75000"/>
                </a:schemeClr>
              </a:solidFill>
              <a:latin typeface="Aptos Narrow"/>
            </a:rPr>
            <a:pPr algn="l"/>
            <a:t> </a:t>
          </a:fld>
          <a:endParaRPr lang="ru-RU" sz="1600">
            <a:solidFill>
              <a:schemeClr val="tx2">
                <a:lumMod val="25000"/>
                <a:lumOff val="75000"/>
              </a:schemeClr>
            </a:solidFill>
          </a:endParaRPr>
        </a:p>
      </xdr:txBody>
    </xdr:sp>
    <xdr:clientData/>
  </xdr:twoCellAnchor>
  <xdr:twoCellAnchor>
    <xdr:from>
      <xdr:col>19</xdr:col>
      <xdr:colOff>34668</xdr:colOff>
      <xdr:row>27</xdr:row>
      <xdr:rowOff>132443</xdr:rowOff>
    </xdr:from>
    <xdr:to>
      <xdr:col>20</xdr:col>
      <xdr:colOff>447672</xdr:colOff>
      <xdr:row>29</xdr:row>
      <xdr:rowOff>24849</xdr:rowOff>
    </xdr:to>
    <xdr:sp macro="" textlink="$A$55">
      <xdr:nvSpPr>
        <xdr:cNvPr id="19" name="TextBox 18">
          <a:extLst>
            <a:ext uri="{FF2B5EF4-FFF2-40B4-BE49-F238E27FC236}">
              <a16:creationId xmlns:a16="http://schemas.microsoft.com/office/drawing/2014/main" id="{3E97BD3A-3D51-42C5-A868-FA51F464A1E6}"/>
            </a:ext>
          </a:extLst>
        </xdr:cNvPr>
        <xdr:cNvSpPr txBox="1"/>
      </xdr:nvSpPr>
      <xdr:spPr>
        <a:xfrm>
          <a:off x="11617068" y="5070203"/>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800EC6F-4F9A-4655-982C-0D43CE89D16F}" type="TxLink">
            <a:rPr lang="en-US" sz="1400" b="0" i="0" u="none" strike="noStrike">
              <a:solidFill>
                <a:schemeClr val="tx2">
                  <a:lumMod val="25000"/>
                  <a:lumOff val="75000"/>
                </a:schemeClr>
              </a:solidFill>
              <a:latin typeface="Aptos Narrow"/>
            </a:rPr>
            <a:pPr algn="l"/>
            <a:t> </a:t>
          </a:fld>
          <a:endParaRPr lang="ru-RU" sz="2000">
            <a:solidFill>
              <a:schemeClr val="tx2">
                <a:lumMod val="25000"/>
                <a:lumOff val="75000"/>
              </a:schemeClr>
            </a:solidFill>
          </a:endParaRPr>
        </a:p>
      </xdr:txBody>
    </xdr:sp>
    <xdr:clientData/>
  </xdr:twoCellAnchor>
  <xdr:twoCellAnchor>
    <xdr:from>
      <xdr:col>19</xdr:col>
      <xdr:colOff>34668</xdr:colOff>
      <xdr:row>30</xdr:row>
      <xdr:rowOff>33340</xdr:rowOff>
    </xdr:from>
    <xdr:to>
      <xdr:col>20</xdr:col>
      <xdr:colOff>447672</xdr:colOff>
      <xdr:row>31</xdr:row>
      <xdr:rowOff>108626</xdr:rowOff>
    </xdr:to>
    <xdr:sp macro="" textlink="$A$56">
      <xdr:nvSpPr>
        <xdr:cNvPr id="20" name="TextBox 19">
          <a:extLst>
            <a:ext uri="{FF2B5EF4-FFF2-40B4-BE49-F238E27FC236}">
              <a16:creationId xmlns:a16="http://schemas.microsoft.com/office/drawing/2014/main" id="{F760C8BB-F44E-4490-87F3-58B5C10687CC}"/>
            </a:ext>
          </a:extLst>
        </xdr:cNvPr>
        <xdr:cNvSpPr txBox="1"/>
      </xdr:nvSpPr>
      <xdr:spPr>
        <a:xfrm>
          <a:off x="11617068" y="5519740"/>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8C18B09-F15C-49A8-BDC9-19B94F66EBF7}" type="TxLink">
            <a:rPr lang="en-US" sz="1400" b="0" i="0" u="none" strike="noStrike">
              <a:solidFill>
                <a:schemeClr val="tx2">
                  <a:lumMod val="25000"/>
                  <a:lumOff val="75000"/>
                </a:schemeClr>
              </a:solidFill>
              <a:latin typeface="Aptos Narrow"/>
              <a:ea typeface="+mn-ea"/>
              <a:cs typeface="+mn-cs"/>
            </a:rPr>
            <a:pPr marL="0" indent="0" algn="l"/>
            <a:t> </a:t>
          </a:fld>
          <a:endParaRPr lang="ru-RU" sz="1400" b="0" i="0" u="none" strike="noStrike">
            <a:solidFill>
              <a:schemeClr val="tx2">
                <a:lumMod val="25000"/>
                <a:lumOff val="75000"/>
              </a:schemeClr>
            </a:solidFill>
            <a:latin typeface="Aptos Narrow"/>
            <a:ea typeface="+mn-ea"/>
            <a:cs typeface="+mn-cs"/>
          </a:endParaRPr>
        </a:p>
      </xdr:txBody>
    </xdr:sp>
    <xdr:clientData/>
  </xdr:twoCellAnchor>
  <xdr:twoCellAnchor>
    <xdr:from>
      <xdr:col>20</xdr:col>
      <xdr:colOff>263268</xdr:colOff>
      <xdr:row>22</xdr:row>
      <xdr:rowOff>147769</xdr:rowOff>
    </xdr:from>
    <xdr:to>
      <xdr:col>22</xdr:col>
      <xdr:colOff>66672</xdr:colOff>
      <xdr:row>24</xdr:row>
      <xdr:rowOff>40175</xdr:rowOff>
    </xdr:to>
    <xdr:sp macro="" textlink="$B$53">
      <xdr:nvSpPr>
        <xdr:cNvPr id="21" name="TextBox 20">
          <a:extLst>
            <a:ext uri="{FF2B5EF4-FFF2-40B4-BE49-F238E27FC236}">
              <a16:creationId xmlns:a16="http://schemas.microsoft.com/office/drawing/2014/main" id="{C375FEB2-B7AC-4DDA-921F-B8D158F986ED}"/>
            </a:ext>
          </a:extLst>
        </xdr:cNvPr>
        <xdr:cNvSpPr txBox="1"/>
      </xdr:nvSpPr>
      <xdr:spPr>
        <a:xfrm>
          <a:off x="12455268" y="4171129"/>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E47465B1-4BE7-4C23-8B11-42192BF425CF}" type="TxLink">
            <a:rPr lang="en-US" sz="1400" b="0" i="0" u="none" strike="noStrike">
              <a:solidFill>
                <a:schemeClr val="tx2">
                  <a:lumMod val="25000"/>
                  <a:lumOff val="75000"/>
                </a:schemeClr>
              </a:solidFill>
              <a:latin typeface="Aptos Narrow"/>
            </a:rPr>
            <a:pPr algn="r"/>
            <a:t> </a:t>
          </a:fld>
          <a:endParaRPr lang="ru-RU" sz="2800">
            <a:solidFill>
              <a:schemeClr val="tx2">
                <a:lumMod val="25000"/>
                <a:lumOff val="75000"/>
              </a:schemeClr>
            </a:solidFill>
          </a:endParaRPr>
        </a:p>
      </xdr:txBody>
    </xdr:sp>
    <xdr:clientData/>
  </xdr:twoCellAnchor>
  <xdr:twoCellAnchor>
    <xdr:from>
      <xdr:col>20</xdr:col>
      <xdr:colOff>263268</xdr:colOff>
      <xdr:row>25</xdr:row>
      <xdr:rowOff>48666</xdr:rowOff>
    </xdr:from>
    <xdr:to>
      <xdr:col>22</xdr:col>
      <xdr:colOff>66672</xdr:colOff>
      <xdr:row>26</xdr:row>
      <xdr:rowOff>123952</xdr:rowOff>
    </xdr:to>
    <xdr:sp macro="" textlink="$B$54">
      <xdr:nvSpPr>
        <xdr:cNvPr id="22" name="TextBox 21">
          <a:extLst>
            <a:ext uri="{FF2B5EF4-FFF2-40B4-BE49-F238E27FC236}">
              <a16:creationId xmlns:a16="http://schemas.microsoft.com/office/drawing/2014/main" id="{1E586C0A-1540-4F3A-9F3D-F3128C735DBF}"/>
            </a:ext>
          </a:extLst>
        </xdr:cNvPr>
        <xdr:cNvSpPr txBox="1"/>
      </xdr:nvSpPr>
      <xdr:spPr>
        <a:xfrm>
          <a:off x="12455268" y="4620666"/>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3204228-334F-480A-BAD4-3079A2B6170F}" type="TxLink">
            <a:rPr lang="en-US" sz="1400" b="0" i="0" u="none" strike="noStrike">
              <a:solidFill>
                <a:schemeClr val="tx2">
                  <a:lumMod val="25000"/>
                  <a:lumOff val="75000"/>
                </a:schemeClr>
              </a:solidFill>
              <a:latin typeface="Aptos Narrow"/>
            </a:rPr>
            <a:pPr algn="r"/>
            <a:t> </a:t>
          </a:fld>
          <a:endParaRPr lang="ru-RU" sz="2000">
            <a:solidFill>
              <a:schemeClr val="tx2">
                <a:lumMod val="25000"/>
                <a:lumOff val="75000"/>
              </a:schemeClr>
            </a:solidFill>
          </a:endParaRPr>
        </a:p>
      </xdr:txBody>
    </xdr:sp>
    <xdr:clientData/>
  </xdr:twoCellAnchor>
  <xdr:twoCellAnchor>
    <xdr:from>
      <xdr:col>20</xdr:col>
      <xdr:colOff>263268</xdr:colOff>
      <xdr:row>27</xdr:row>
      <xdr:rowOff>132443</xdr:rowOff>
    </xdr:from>
    <xdr:to>
      <xdr:col>22</xdr:col>
      <xdr:colOff>66672</xdr:colOff>
      <xdr:row>29</xdr:row>
      <xdr:rowOff>24849</xdr:rowOff>
    </xdr:to>
    <xdr:sp macro="" textlink="$B$55">
      <xdr:nvSpPr>
        <xdr:cNvPr id="23" name="TextBox 22">
          <a:extLst>
            <a:ext uri="{FF2B5EF4-FFF2-40B4-BE49-F238E27FC236}">
              <a16:creationId xmlns:a16="http://schemas.microsoft.com/office/drawing/2014/main" id="{1DA757FE-B29B-41BC-B647-A0BD905F6912}"/>
            </a:ext>
          </a:extLst>
        </xdr:cNvPr>
        <xdr:cNvSpPr txBox="1"/>
      </xdr:nvSpPr>
      <xdr:spPr>
        <a:xfrm>
          <a:off x="12455268" y="5070203"/>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E9644FEF-9BA8-41DF-881D-E8A1244A7CAE}" type="TxLink">
            <a:rPr lang="en-US" sz="1400" b="0" i="0" u="none" strike="noStrike">
              <a:solidFill>
                <a:schemeClr val="tx2">
                  <a:lumMod val="25000"/>
                  <a:lumOff val="75000"/>
                </a:schemeClr>
              </a:solidFill>
              <a:latin typeface="Aptos Narrow"/>
            </a:rPr>
            <a:pPr algn="r"/>
            <a:t> </a:t>
          </a:fld>
          <a:endParaRPr lang="ru-RU" sz="2800">
            <a:solidFill>
              <a:schemeClr val="tx2">
                <a:lumMod val="25000"/>
                <a:lumOff val="75000"/>
              </a:schemeClr>
            </a:solidFill>
          </a:endParaRPr>
        </a:p>
      </xdr:txBody>
    </xdr:sp>
    <xdr:clientData/>
  </xdr:twoCellAnchor>
  <xdr:twoCellAnchor>
    <xdr:from>
      <xdr:col>20</xdr:col>
      <xdr:colOff>328582</xdr:colOff>
      <xdr:row>32</xdr:row>
      <xdr:rowOff>109539</xdr:rowOff>
    </xdr:from>
    <xdr:to>
      <xdr:col>22</xdr:col>
      <xdr:colOff>131986</xdr:colOff>
      <xdr:row>33</xdr:row>
      <xdr:rowOff>184825</xdr:rowOff>
    </xdr:to>
    <xdr:sp macro="" textlink="$B$56">
      <xdr:nvSpPr>
        <xdr:cNvPr id="24" name="TextBox 23">
          <a:extLst>
            <a:ext uri="{FF2B5EF4-FFF2-40B4-BE49-F238E27FC236}">
              <a16:creationId xmlns:a16="http://schemas.microsoft.com/office/drawing/2014/main" id="{AD6F0575-CF3B-47B8-9D09-F66F26B0BC34}"/>
            </a:ext>
          </a:extLst>
        </xdr:cNvPr>
        <xdr:cNvSpPr txBox="1"/>
      </xdr:nvSpPr>
      <xdr:spPr>
        <a:xfrm>
          <a:off x="12520582" y="5961699"/>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8F9D2ED-7794-4CAD-A140-112658E75D64}" type="TxLink">
            <a:rPr lang="en-US" sz="1400" b="0" i="0" u="none" strike="noStrike">
              <a:solidFill>
                <a:schemeClr val="tx2">
                  <a:lumMod val="25000"/>
                  <a:lumOff val="75000"/>
                </a:schemeClr>
              </a:solidFill>
              <a:latin typeface="Aptos Narrow"/>
              <a:ea typeface="+mn-ea"/>
              <a:cs typeface="+mn-cs"/>
            </a:rPr>
            <a:pPr marL="0" indent="0" algn="r"/>
            <a:t>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20</xdr:col>
      <xdr:colOff>263268</xdr:colOff>
      <xdr:row>32</xdr:row>
      <xdr:rowOff>117117</xdr:rowOff>
    </xdr:from>
    <xdr:to>
      <xdr:col>22</xdr:col>
      <xdr:colOff>66672</xdr:colOff>
      <xdr:row>34</xdr:row>
      <xdr:rowOff>9523</xdr:rowOff>
    </xdr:to>
    <xdr:sp macro="" textlink="$B$57">
      <xdr:nvSpPr>
        <xdr:cNvPr id="25" name="TextBox 24">
          <a:extLst>
            <a:ext uri="{FF2B5EF4-FFF2-40B4-BE49-F238E27FC236}">
              <a16:creationId xmlns:a16="http://schemas.microsoft.com/office/drawing/2014/main" id="{4CAB8173-8208-4BB8-86CD-BAC462BAB6C5}"/>
            </a:ext>
          </a:extLst>
        </xdr:cNvPr>
        <xdr:cNvSpPr txBox="1"/>
      </xdr:nvSpPr>
      <xdr:spPr>
        <a:xfrm>
          <a:off x="12455268" y="596927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34374E5-FE8C-4C24-ABA4-7352FE20634F}" type="TxLink">
            <a:rPr lang="en-US" sz="1400" b="0" i="0" u="none" strike="noStrike">
              <a:solidFill>
                <a:schemeClr val="tx2">
                  <a:lumMod val="25000"/>
                  <a:lumOff val="75000"/>
                </a:schemeClr>
              </a:solidFill>
              <a:latin typeface="Aptos Narrow"/>
              <a:ea typeface="+mn-ea"/>
              <a:cs typeface="+mn-cs"/>
            </a:rPr>
            <a:pPr marL="0" indent="0" algn="r"/>
            <a:t>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2</xdr:col>
      <xdr:colOff>251460</xdr:colOff>
      <xdr:row>3</xdr:row>
      <xdr:rowOff>175260</xdr:rowOff>
    </xdr:from>
    <xdr:to>
      <xdr:col>4</xdr:col>
      <xdr:colOff>10212</xdr:colOff>
      <xdr:row>6</xdr:row>
      <xdr:rowOff>137160</xdr:rowOff>
    </xdr:to>
    <xdr:sp macro="" textlink="#REF!">
      <xdr:nvSpPr>
        <xdr:cNvPr id="26" name="TextBox 25">
          <a:extLst>
            <a:ext uri="{FF2B5EF4-FFF2-40B4-BE49-F238E27FC236}">
              <a16:creationId xmlns:a16="http://schemas.microsoft.com/office/drawing/2014/main" id="{10FA40D0-B747-4916-A3A5-D4656A434094}"/>
            </a:ext>
          </a:extLst>
        </xdr:cNvPr>
        <xdr:cNvSpPr txBox="1"/>
      </xdr:nvSpPr>
      <xdr:spPr>
        <a:xfrm>
          <a:off x="1470660" y="723900"/>
          <a:ext cx="977952" cy="510540"/>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chemeClr val="tx2">
                  <a:lumMod val="10000"/>
                  <a:lumOff val="90000"/>
                </a:schemeClr>
              </a:solidFill>
              <a:latin typeface="Aptos Narrow"/>
              <a:ea typeface="+mn-ea"/>
              <a:cs typeface="+mn-cs"/>
            </a:rPr>
            <a:t>Macro Economics</a:t>
          </a:r>
          <a:endParaRPr lang="ru-RU" sz="1200" b="0" i="0" u="none" strike="noStrike">
            <a:solidFill>
              <a:schemeClr val="tx2">
                <a:lumMod val="10000"/>
                <a:lumOff val="90000"/>
              </a:schemeClr>
            </a:solidFill>
            <a:latin typeface="Aptos Narrow"/>
            <a:ea typeface="+mn-ea"/>
            <a:cs typeface="+mn-cs"/>
          </a:endParaRPr>
        </a:p>
      </xdr:txBody>
    </xdr:sp>
    <xdr:clientData/>
  </xdr:twoCellAnchor>
  <xdr:twoCellAnchor>
    <xdr:from>
      <xdr:col>2</xdr:col>
      <xdr:colOff>266700</xdr:colOff>
      <xdr:row>4</xdr:row>
      <xdr:rowOff>64770</xdr:rowOff>
    </xdr:from>
    <xdr:to>
      <xdr:col>2</xdr:col>
      <xdr:colOff>266700</xdr:colOff>
      <xdr:row>6</xdr:row>
      <xdr:rowOff>64770</xdr:rowOff>
    </xdr:to>
    <xdr:cxnSp macro="">
      <xdr:nvCxnSpPr>
        <xdr:cNvPr id="27" name="Straight Connector 26">
          <a:extLst>
            <a:ext uri="{FF2B5EF4-FFF2-40B4-BE49-F238E27FC236}">
              <a16:creationId xmlns:a16="http://schemas.microsoft.com/office/drawing/2014/main" id="{FC9D67B5-DC7A-4E73-9401-539A7B9479B5}"/>
            </a:ext>
          </a:extLst>
        </xdr:cNvPr>
        <xdr:cNvCxnSpPr/>
      </xdr:nvCxnSpPr>
      <xdr:spPr>
        <a:xfrm>
          <a:off x="1485900" y="796290"/>
          <a:ext cx="0" cy="365760"/>
        </a:xfrm>
        <a:prstGeom prst="line">
          <a:avLst/>
        </a:prstGeom>
        <a:ln w="9525">
          <a:solidFill>
            <a:schemeClr val="tx2">
              <a:lumMod val="25000"/>
              <a:lumOff val="75000"/>
            </a:schemeClr>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xdr:col>
      <xdr:colOff>385482</xdr:colOff>
      <xdr:row>4</xdr:row>
      <xdr:rowOff>116542</xdr:rowOff>
    </xdr:from>
    <xdr:to>
      <xdr:col>2</xdr:col>
      <xdr:colOff>215153</xdr:colOff>
      <xdr:row>6</xdr:row>
      <xdr:rowOff>18932</xdr:rowOff>
    </xdr:to>
    <xdr:pic>
      <xdr:nvPicPr>
        <xdr:cNvPr id="28" name="Picture 27">
          <a:extLst>
            <a:ext uri="{FF2B5EF4-FFF2-40B4-BE49-F238E27FC236}">
              <a16:creationId xmlns:a16="http://schemas.microsoft.com/office/drawing/2014/main" id="{D9198C08-6120-4551-9E27-06F03C187ED0}"/>
            </a:ext>
          </a:extLst>
        </xdr:cNvPr>
        <xdr:cNvPicPr>
          <a:picLocks noChangeAspect="1"/>
        </xdr:cNvPicPr>
      </xdr:nvPicPr>
      <xdr:blipFill>
        <a:blip xmlns:r="http://schemas.openxmlformats.org/officeDocument/2006/relationships" r:embed="rId5"/>
        <a:stretch>
          <a:fillRect/>
        </a:stretch>
      </xdr:blipFill>
      <xdr:spPr>
        <a:xfrm>
          <a:off x="995082" y="848062"/>
          <a:ext cx="439271" cy="268150"/>
        </a:xfrm>
        <a:prstGeom prst="rect">
          <a:avLst/>
        </a:prstGeom>
      </xdr:spPr>
    </xdr:pic>
    <xdr:clientData/>
  </xdr:twoCellAnchor>
  <xdr:twoCellAnchor>
    <xdr:from>
      <xdr:col>1</xdr:col>
      <xdr:colOff>514296</xdr:colOff>
      <xdr:row>12</xdr:row>
      <xdr:rowOff>31339</xdr:rowOff>
    </xdr:from>
    <xdr:to>
      <xdr:col>3</xdr:col>
      <xdr:colOff>419960</xdr:colOff>
      <xdr:row>16</xdr:row>
      <xdr:rowOff>5418</xdr:rowOff>
    </xdr:to>
    <xdr:grpSp>
      <xdr:nvGrpSpPr>
        <xdr:cNvPr id="29" name="Group 28">
          <a:hlinkClick xmlns:r="http://schemas.openxmlformats.org/officeDocument/2006/relationships" r:id="rId6"/>
          <a:extLst>
            <a:ext uri="{FF2B5EF4-FFF2-40B4-BE49-F238E27FC236}">
              <a16:creationId xmlns:a16="http://schemas.microsoft.com/office/drawing/2014/main" id="{DFEA6C37-7F7B-4EA3-8DFF-68E3BE6F6B6B}"/>
            </a:ext>
          </a:extLst>
        </xdr:cNvPr>
        <xdr:cNvGrpSpPr/>
      </xdr:nvGrpSpPr>
      <xdr:grpSpPr>
        <a:xfrm>
          <a:off x="1123896" y="2203039"/>
          <a:ext cx="1124864" cy="697979"/>
          <a:chOff x="1123896" y="2225899"/>
          <a:chExt cx="1124864" cy="705599"/>
        </a:xfrm>
        <a:effectLst/>
      </xdr:grpSpPr>
      <xdr:sp macro="" textlink="#REF!">
        <xdr:nvSpPr>
          <xdr:cNvPr id="30" name="TextBox 29">
            <a:extLst>
              <a:ext uri="{FF2B5EF4-FFF2-40B4-BE49-F238E27FC236}">
                <a16:creationId xmlns:a16="http://schemas.microsoft.com/office/drawing/2014/main" id="{C802E22C-1935-FC37-B8D4-ECB22290084B}"/>
              </a:ext>
            </a:extLst>
          </xdr:cNvPr>
          <xdr:cNvSpPr txBox="1"/>
        </xdr:nvSpPr>
        <xdr:spPr>
          <a:xfrm>
            <a:off x="1123896" y="2675982"/>
            <a:ext cx="1124864" cy="255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Real Sector</a:t>
            </a:r>
          </a:p>
        </xdr:txBody>
      </xdr:sp>
      <xdr:pic>
        <xdr:nvPicPr>
          <xdr:cNvPr id="31" name="Graphic 30" descr="Factory outline">
            <a:extLst>
              <a:ext uri="{FF2B5EF4-FFF2-40B4-BE49-F238E27FC236}">
                <a16:creationId xmlns:a16="http://schemas.microsoft.com/office/drawing/2014/main" id="{4C412C35-E9AF-DF7D-490C-8994668052E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421216" y="2225899"/>
            <a:ext cx="527019" cy="535332"/>
          </a:xfrm>
          <a:prstGeom prst="rect">
            <a:avLst/>
          </a:prstGeom>
          <a:effectLst/>
        </xdr:spPr>
      </xdr:pic>
    </xdr:grpSp>
    <xdr:clientData/>
  </xdr:twoCellAnchor>
  <xdr:twoCellAnchor>
    <xdr:from>
      <xdr:col>1</xdr:col>
      <xdr:colOff>493513</xdr:colOff>
      <xdr:row>16</xdr:row>
      <xdr:rowOff>44807</xdr:rowOff>
    </xdr:from>
    <xdr:to>
      <xdr:col>3</xdr:col>
      <xdr:colOff>399177</xdr:colOff>
      <xdr:row>20</xdr:row>
      <xdr:rowOff>10031</xdr:rowOff>
    </xdr:to>
    <xdr:grpSp>
      <xdr:nvGrpSpPr>
        <xdr:cNvPr id="32" name="Group 31">
          <a:hlinkClick xmlns:r="http://schemas.openxmlformats.org/officeDocument/2006/relationships" r:id="rId9"/>
          <a:extLst>
            <a:ext uri="{FF2B5EF4-FFF2-40B4-BE49-F238E27FC236}">
              <a16:creationId xmlns:a16="http://schemas.microsoft.com/office/drawing/2014/main" id="{E89084A4-E848-4462-9303-74C21B184115}"/>
            </a:ext>
          </a:extLst>
        </xdr:cNvPr>
        <xdr:cNvGrpSpPr/>
      </xdr:nvGrpSpPr>
      <xdr:grpSpPr>
        <a:xfrm>
          <a:off x="1103113" y="2940407"/>
          <a:ext cx="1124864" cy="689124"/>
          <a:chOff x="1103113" y="2970887"/>
          <a:chExt cx="1124864" cy="696744"/>
        </a:xfrm>
      </xdr:grpSpPr>
      <xdr:pic>
        <xdr:nvPicPr>
          <xdr:cNvPr id="33" name="Graphic 32" descr="Bank outline">
            <a:extLst>
              <a:ext uri="{FF2B5EF4-FFF2-40B4-BE49-F238E27FC236}">
                <a16:creationId xmlns:a16="http://schemas.microsoft.com/office/drawing/2014/main" id="{E7639330-986C-A7A2-439A-97D10E5C06C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401163" y="2970887"/>
            <a:ext cx="535254" cy="538929"/>
          </a:xfrm>
          <a:prstGeom prst="rect">
            <a:avLst/>
          </a:prstGeom>
          <a:effectLst/>
        </xdr:spPr>
      </xdr:pic>
      <xdr:sp macro="" textlink="#REF!">
        <xdr:nvSpPr>
          <xdr:cNvPr id="34" name="TextBox 33">
            <a:extLst>
              <a:ext uri="{FF2B5EF4-FFF2-40B4-BE49-F238E27FC236}">
                <a16:creationId xmlns:a16="http://schemas.microsoft.com/office/drawing/2014/main" id="{418FBF8D-938A-7382-32D1-AC9BD0FDB8C1}"/>
              </a:ext>
            </a:extLst>
          </xdr:cNvPr>
          <xdr:cNvSpPr txBox="1"/>
        </xdr:nvSpPr>
        <xdr:spPr>
          <a:xfrm>
            <a:off x="1103113" y="3411300"/>
            <a:ext cx="1124864" cy="256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Monetary</a:t>
            </a:r>
          </a:p>
        </xdr:txBody>
      </xdr:sp>
    </xdr:grpSp>
    <xdr:clientData/>
  </xdr:twoCellAnchor>
  <xdr:twoCellAnchor>
    <xdr:from>
      <xdr:col>1</xdr:col>
      <xdr:colOff>493514</xdr:colOff>
      <xdr:row>20</xdr:row>
      <xdr:rowOff>46105</xdr:rowOff>
    </xdr:from>
    <xdr:to>
      <xdr:col>3</xdr:col>
      <xdr:colOff>399178</xdr:colOff>
      <xdr:row>24</xdr:row>
      <xdr:rowOff>14643</xdr:rowOff>
    </xdr:to>
    <xdr:grpSp>
      <xdr:nvGrpSpPr>
        <xdr:cNvPr id="35" name="Group 34">
          <a:hlinkClick xmlns:r="http://schemas.openxmlformats.org/officeDocument/2006/relationships" r:id="rId12"/>
          <a:extLst>
            <a:ext uri="{FF2B5EF4-FFF2-40B4-BE49-F238E27FC236}">
              <a16:creationId xmlns:a16="http://schemas.microsoft.com/office/drawing/2014/main" id="{70ADA182-7E9E-4FF6-9286-512AE9D7EF4A}"/>
            </a:ext>
          </a:extLst>
        </xdr:cNvPr>
        <xdr:cNvGrpSpPr/>
      </xdr:nvGrpSpPr>
      <xdr:grpSpPr>
        <a:xfrm>
          <a:off x="1103114" y="3665605"/>
          <a:ext cx="1124864" cy="692438"/>
          <a:chOff x="1103114" y="3703705"/>
          <a:chExt cx="1124864" cy="700058"/>
        </a:xfrm>
      </xdr:grpSpPr>
      <xdr:pic>
        <xdr:nvPicPr>
          <xdr:cNvPr id="36" name="Graphic 35" descr="Upward trend with solid fill">
            <a:extLst>
              <a:ext uri="{FF2B5EF4-FFF2-40B4-BE49-F238E27FC236}">
                <a16:creationId xmlns:a16="http://schemas.microsoft.com/office/drawing/2014/main" id="{93931C63-B3C0-3C26-682A-FADCD9B498D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404870" y="3703705"/>
            <a:ext cx="537654" cy="545967"/>
          </a:xfrm>
          <a:prstGeom prst="rect">
            <a:avLst/>
          </a:prstGeom>
          <a:effectLst/>
        </xdr:spPr>
      </xdr:pic>
      <xdr:sp macro="" textlink="#REF!">
        <xdr:nvSpPr>
          <xdr:cNvPr id="37" name="TextBox 36">
            <a:extLst>
              <a:ext uri="{FF2B5EF4-FFF2-40B4-BE49-F238E27FC236}">
                <a16:creationId xmlns:a16="http://schemas.microsoft.com/office/drawing/2014/main" id="{5D892B2A-6A82-034C-3E85-159C337280CF}"/>
              </a:ext>
            </a:extLst>
          </xdr:cNvPr>
          <xdr:cNvSpPr txBox="1"/>
        </xdr:nvSpPr>
        <xdr:spPr>
          <a:xfrm>
            <a:off x="1103114" y="4147432"/>
            <a:ext cx="1124864" cy="256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Inflation</a:t>
            </a:r>
          </a:p>
        </xdr:txBody>
      </xdr:sp>
    </xdr:grpSp>
    <xdr:clientData/>
  </xdr:twoCellAnchor>
  <xdr:twoCellAnchor>
    <xdr:from>
      <xdr:col>1</xdr:col>
      <xdr:colOff>521223</xdr:colOff>
      <xdr:row>24</xdr:row>
      <xdr:rowOff>33423</xdr:rowOff>
    </xdr:from>
    <xdr:to>
      <xdr:col>3</xdr:col>
      <xdr:colOff>426887</xdr:colOff>
      <xdr:row>28</xdr:row>
      <xdr:rowOff>19256</xdr:rowOff>
    </xdr:to>
    <xdr:grpSp>
      <xdr:nvGrpSpPr>
        <xdr:cNvPr id="38" name="Group 37">
          <a:hlinkClick xmlns:r="http://schemas.openxmlformats.org/officeDocument/2006/relationships" r:id="rId15"/>
          <a:extLst>
            <a:ext uri="{FF2B5EF4-FFF2-40B4-BE49-F238E27FC236}">
              <a16:creationId xmlns:a16="http://schemas.microsoft.com/office/drawing/2014/main" id="{35D34AA3-BDA4-4B74-80CC-D413B45A395D}"/>
            </a:ext>
          </a:extLst>
        </xdr:cNvPr>
        <xdr:cNvGrpSpPr/>
      </xdr:nvGrpSpPr>
      <xdr:grpSpPr>
        <a:xfrm>
          <a:off x="1130823" y="4376823"/>
          <a:ext cx="1124864" cy="709733"/>
          <a:chOff x="1130823" y="4422543"/>
          <a:chExt cx="1124864" cy="717353"/>
        </a:xfrm>
      </xdr:grpSpPr>
      <xdr:pic>
        <xdr:nvPicPr>
          <xdr:cNvPr id="39" name="Graphic 38" descr="Construction worker male outline">
            <a:extLst>
              <a:ext uri="{FF2B5EF4-FFF2-40B4-BE49-F238E27FC236}">
                <a16:creationId xmlns:a16="http://schemas.microsoft.com/office/drawing/2014/main" id="{935BECD0-3937-54A1-CD84-2630E38BFCEE}"/>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423402" y="4422543"/>
            <a:ext cx="540054" cy="548367"/>
          </a:xfrm>
          <a:prstGeom prst="rect">
            <a:avLst/>
          </a:prstGeom>
          <a:effectLst>
            <a:glow rad="101600">
              <a:srgbClr val="0575F1">
                <a:alpha val="40000"/>
              </a:srgbClr>
            </a:glow>
          </a:effectLst>
        </xdr:spPr>
      </xdr:pic>
      <xdr:sp macro="" textlink="#REF!">
        <xdr:nvSpPr>
          <xdr:cNvPr id="40" name="TextBox 39">
            <a:extLst>
              <a:ext uri="{FF2B5EF4-FFF2-40B4-BE49-F238E27FC236}">
                <a16:creationId xmlns:a16="http://schemas.microsoft.com/office/drawing/2014/main" id="{CC64A06D-725C-72A9-51CC-D1B863687CEC}"/>
              </a:ext>
            </a:extLst>
          </xdr:cNvPr>
          <xdr:cNvSpPr txBox="1"/>
        </xdr:nvSpPr>
        <xdr:spPr>
          <a:xfrm>
            <a:off x="1130823" y="4883565"/>
            <a:ext cx="1124864" cy="256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chemeClr val="bg1"/>
                </a:solidFill>
                <a:latin typeface="Aptos Narrow"/>
                <a:ea typeface="+mn-ea"/>
                <a:cs typeface="+mn-cs"/>
              </a:rPr>
              <a:t>Labour</a:t>
            </a:r>
          </a:p>
        </xdr:txBody>
      </xdr:sp>
    </xdr:grpSp>
    <xdr:clientData/>
  </xdr:twoCellAnchor>
  <xdr:twoCellAnchor>
    <xdr:from>
      <xdr:col>1</xdr:col>
      <xdr:colOff>514296</xdr:colOff>
      <xdr:row>28</xdr:row>
      <xdr:rowOff>41325</xdr:rowOff>
    </xdr:from>
    <xdr:to>
      <xdr:col>3</xdr:col>
      <xdr:colOff>419960</xdr:colOff>
      <xdr:row>32</xdr:row>
      <xdr:rowOff>23868</xdr:rowOff>
    </xdr:to>
    <xdr:grpSp>
      <xdr:nvGrpSpPr>
        <xdr:cNvPr id="41" name="Group 40">
          <a:hlinkClick xmlns:r="http://schemas.openxmlformats.org/officeDocument/2006/relationships" r:id="rId18"/>
          <a:extLst>
            <a:ext uri="{FF2B5EF4-FFF2-40B4-BE49-F238E27FC236}">
              <a16:creationId xmlns:a16="http://schemas.microsoft.com/office/drawing/2014/main" id="{37B17D4E-8F4F-483A-A791-1A88D6BBE649}"/>
            </a:ext>
          </a:extLst>
        </xdr:cNvPr>
        <xdr:cNvGrpSpPr/>
      </xdr:nvGrpSpPr>
      <xdr:grpSpPr>
        <a:xfrm>
          <a:off x="1123896" y="5108625"/>
          <a:ext cx="1124864" cy="706443"/>
          <a:chOff x="1123896" y="5161965"/>
          <a:chExt cx="1124864" cy="714063"/>
        </a:xfrm>
      </xdr:grpSpPr>
      <xdr:pic>
        <xdr:nvPicPr>
          <xdr:cNvPr id="42" name="Graphic 41" descr="Miscellaneous outline">
            <a:extLst>
              <a:ext uri="{FF2B5EF4-FFF2-40B4-BE49-F238E27FC236}">
                <a16:creationId xmlns:a16="http://schemas.microsoft.com/office/drawing/2014/main" id="{C89C3907-1C6E-C807-4E1D-AE433CB09C5A}"/>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391164" y="5161965"/>
            <a:ext cx="616527" cy="624839"/>
          </a:xfrm>
          <a:prstGeom prst="rect">
            <a:avLst/>
          </a:prstGeom>
        </xdr:spPr>
      </xdr:pic>
      <xdr:sp macro="" textlink="#REF!">
        <xdr:nvSpPr>
          <xdr:cNvPr id="43" name="TextBox 42">
            <a:extLst>
              <a:ext uri="{FF2B5EF4-FFF2-40B4-BE49-F238E27FC236}">
                <a16:creationId xmlns:a16="http://schemas.microsoft.com/office/drawing/2014/main" id="{7A86F87E-B54C-C065-19A3-C8A5F97FBE0E}"/>
              </a:ext>
            </a:extLst>
          </xdr:cNvPr>
          <xdr:cNvSpPr txBox="1"/>
        </xdr:nvSpPr>
        <xdr:spPr>
          <a:xfrm>
            <a:off x="1123896" y="5619697"/>
            <a:ext cx="1124864" cy="256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External</a:t>
            </a:r>
          </a:p>
        </xdr:txBody>
      </xdr:sp>
    </xdr:grpSp>
    <xdr:clientData/>
  </xdr:twoCellAnchor>
  <xdr:twoCellAnchor>
    <xdr:from>
      <xdr:col>1</xdr:col>
      <xdr:colOff>521224</xdr:colOff>
      <xdr:row>31</xdr:row>
      <xdr:rowOff>149881</xdr:rowOff>
    </xdr:from>
    <xdr:to>
      <xdr:col>3</xdr:col>
      <xdr:colOff>426888</xdr:colOff>
      <xdr:row>36</xdr:row>
      <xdr:rowOff>28481</xdr:rowOff>
    </xdr:to>
    <xdr:grpSp>
      <xdr:nvGrpSpPr>
        <xdr:cNvPr id="44" name="Group 43">
          <a:hlinkClick xmlns:r="http://schemas.openxmlformats.org/officeDocument/2006/relationships" r:id="rId21"/>
          <a:extLst>
            <a:ext uri="{FF2B5EF4-FFF2-40B4-BE49-F238E27FC236}">
              <a16:creationId xmlns:a16="http://schemas.microsoft.com/office/drawing/2014/main" id="{B4532BA0-3A14-4DD5-980E-5F7281E730C3}"/>
            </a:ext>
          </a:extLst>
        </xdr:cNvPr>
        <xdr:cNvGrpSpPr/>
      </xdr:nvGrpSpPr>
      <xdr:grpSpPr>
        <a:xfrm>
          <a:off x="1130824" y="5760106"/>
          <a:ext cx="1124864" cy="783475"/>
          <a:chOff x="1130824" y="5819161"/>
          <a:chExt cx="1124864" cy="793000"/>
        </a:xfrm>
      </xdr:grpSpPr>
      <xdr:pic>
        <xdr:nvPicPr>
          <xdr:cNvPr id="45" name="Graphic 44" descr="Scales of justice outline">
            <a:extLst>
              <a:ext uri="{FF2B5EF4-FFF2-40B4-BE49-F238E27FC236}">
                <a16:creationId xmlns:a16="http://schemas.microsoft.com/office/drawing/2014/main" id="{871D58A0-EF72-D29B-A683-6C824149F9A8}"/>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410764" y="5819161"/>
            <a:ext cx="586418" cy="598317"/>
          </a:xfrm>
          <a:prstGeom prst="rect">
            <a:avLst/>
          </a:prstGeom>
        </xdr:spPr>
      </xdr:pic>
      <xdr:sp macro="" textlink="#REF!">
        <xdr:nvSpPr>
          <xdr:cNvPr id="46" name="TextBox 45">
            <a:extLst>
              <a:ext uri="{FF2B5EF4-FFF2-40B4-BE49-F238E27FC236}">
                <a16:creationId xmlns:a16="http://schemas.microsoft.com/office/drawing/2014/main" id="{920CB3A9-C28E-0AA8-43D1-1611010222FE}"/>
              </a:ext>
            </a:extLst>
          </xdr:cNvPr>
          <xdr:cNvSpPr txBox="1"/>
        </xdr:nvSpPr>
        <xdr:spPr>
          <a:xfrm>
            <a:off x="1130824" y="6355830"/>
            <a:ext cx="1124864" cy="256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Fiscal</a:t>
            </a:r>
          </a:p>
        </xdr:txBody>
      </xdr:sp>
    </xdr:grpSp>
    <xdr:clientData/>
  </xdr:twoCellAnchor>
  <xdr:twoCellAnchor>
    <xdr:from>
      <xdr:col>1</xdr:col>
      <xdr:colOff>521224</xdr:colOff>
      <xdr:row>36</xdr:row>
      <xdr:rowOff>57807</xdr:rowOff>
    </xdr:from>
    <xdr:to>
      <xdr:col>3</xdr:col>
      <xdr:colOff>426888</xdr:colOff>
      <xdr:row>40</xdr:row>
      <xdr:rowOff>29510</xdr:rowOff>
    </xdr:to>
    <xdr:grpSp>
      <xdr:nvGrpSpPr>
        <xdr:cNvPr id="47" name="Group 46">
          <a:hlinkClick xmlns:r="http://schemas.openxmlformats.org/officeDocument/2006/relationships" r:id="rId24"/>
          <a:extLst>
            <a:ext uri="{FF2B5EF4-FFF2-40B4-BE49-F238E27FC236}">
              <a16:creationId xmlns:a16="http://schemas.microsoft.com/office/drawing/2014/main" id="{8E78EB57-C101-43B4-8BED-E6A76CD713D4}"/>
            </a:ext>
          </a:extLst>
        </xdr:cNvPr>
        <xdr:cNvGrpSpPr/>
      </xdr:nvGrpSpPr>
      <xdr:grpSpPr>
        <a:xfrm>
          <a:off x="1130824" y="6572907"/>
          <a:ext cx="1124864" cy="695603"/>
          <a:chOff x="1130824" y="6641487"/>
          <a:chExt cx="1124864" cy="703223"/>
        </a:xfrm>
      </xdr:grpSpPr>
      <xdr:pic>
        <xdr:nvPicPr>
          <xdr:cNvPr id="48" name="Graphic 47" descr="Closed book outline">
            <a:extLst>
              <a:ext uri="{FF2B5EF4-FFF2-40B4-BE49-F238E27FC236}">
                <a16:creationId xmlns:a16="http://schemas.microsoft.com/office/drawing/2014/main" id="{42711E2F-D6EF-7CC1-661E-85F885F80BA4}"/>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1417845" y="6641487"/>
            <a:ext cx="508802" cy="516057"/>
          </a:xfrm>
          <a:prstGeom prst="rect">
            <a:avLst/>
          </a:prstGeom>
        </xdr:spPr>
      </xdr:pic>
      <xdr:sp macro="" textlink="#REF!">
        <xdr:nvSpPr>
          <xdr:cNvPr id="49" name="TextBox 48">
            <a:extLst>
              <a:ext uri="{FF2B5EF4-FFF2-40B4-BE49-F238E27FC236}">
                <a16:creationId xmlns:a16="http://schemas.microsoft.com/office/drawing/2014/main" id="{80C199BD-E006-DDE4-A629-C3B3121A4213}"/>
              </a:ext>
            </a:extLst>
          </xdr:cNvPr>
          <xdr:cNvSpPr txBox="1"/>
        </xdr:nvSpPr>
        <xdr:spPr>
          <a:xfrm>
            <a:off x="1130824" y="7091965"/>
            <a:ext cx="1124864" cy="252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Summary</a:t>
            </a:r>
          </a:p>
        </xdr:txBody>
      </xdr:sp>
    </xdr:grpSp>
    <xdr:clientData/>
  </xdr:twoCellAnchor>
  <xdr:twoCellAnchor editAs="oneCell">
    <xdr:from>
      <xdr:col>4</xdr:col>
      <xdr:colOff>233079</xdr:colOff>
      <xdr:row>4</xdr:row>
      <xdr:rowOff>144781</xdr:rowOff>
    </xdr:from>
    <xdr:to>
      <xdr:col>22</xdr:col>
      <xdr:colOff>17928</xdr:colOff>
      <xdr:row>11</xdr:row>
      <xdr:rowOff>17929</xdr:rowOff>
    </xdr:to>
    <mc:AlternateContent xmlns:mc="http://schemas.openxmlformats.org/markup-compatibility/2006" xmlns:a14="http://schemas.microsoft.com/office/drawing/2010/main">
      <mc:Choice Requires="a14">
        <xdr:graphicFrame macro="">
          <xdr:nvGraphicFramePr>
            <xdr:cNvPr id="55" name="Year 4">
              <a:extLst>
                <a:ext uri="{FF2B5EF4-FFF2-40B4-BE49-F238E27FC236}">
                  <a16:creationId xmlns:a16="http://schemas.microsoft.com/office/drawing/2014/main" id="{C1F4E333-A941-4E4E-893F-868E97CC1BC9}"/>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2671479" y="868681"/>
              <a:ext cx="10757649" cy="11399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170293</xdr:colOff>
      <xdr:row>29</xdr:row>
      <xdr:rowOff>152400</xdr:rowOff>
    </xdr:from>
    <xdr:to>
      <xdr:col>22</xdr:col>
      <xdr:colOff>200025</xdr:colOff>
      <xdr:row>42</xdr:row>
      <xdr:rowOff>104776</xdr:rowOff>
    </xdr:to>
    <xdr:sp macro="" textlink="">
      <xdr:nvSpPr>
        <xdr:cNvPr id="68" name="Rectangle: Rounded Corners 67">
          <a:extLst>
            <a:ext uri="{FF2B5EF4-FFF2-40B4-BE49-F238E27FC236}">
              <a16:creationId xmlns:a16="http://schemas.microsoft.com/office/drawing/2014/main" id="{3EC2EC70-3EA3-F6D4-D311-9D84567AC4BB}"/>
            </a:ext>
          </a:extLst>
        </xdr:cNvPr>
        <xdr:cNvSpPr/>
      </xdr:nvSpPr>
      <xdr:spPr>
        <a:xfrm>
          <a:off x="2608693" y="5400675"/>
          <a:ext cx="11002532" cy="2305051"/>
        </a:xfrm>
        <a:prstGeom prst="roundRect">
          <a:avLst>
            <a:gd name="adj" fmla="val 5056"/>
          </a:avLst>
        </a:prstGeom>
        <a:gradFill>
          <a:gsLst>
            <a:gs pos="0">
              <a:srgbClr val="323687"/>
            </a:gs>
            <a:gs pos="75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266699</xdr:colOff>
      <xdr:row>13</xdr:row>
      <xdr:rowOff>152400</xdr:rowOff>
    </xdr:from>
    <xdr:to>
      <xdr:col>22</xdr:col>
      <xdr:colOff>9524</xdr:colOff>
      <xdr:row>29</xdr:row>
      <xdr:rowOff>0</xdr:rowOff>
    </xdr:to>
    <xdr:graphicFrame macro="">
      <xdr:nvGraphicFramePr>
        <xdr:cNvPr id="69" name="Chart 68">
          <a:extLst>
            <a:ext uri="{FF2B5EF4-FFF2-40B4-BE49-F238E27FC236}">
              <a16:creationId xmlns:a16="http://schemas.microsoft.com/office/drawing/2014/main" id="{BAB7BCCA-261F-4135-A98A-0EC5A86DC5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4</xdr:col>
      <xdr:colOff>304800</xdr:colOff>
      <xdr:row>30</xdr:row>
      <xdr:rowOff>57150</xdr:rowOff>
    </xdr:from>
    <xdr:to>
      <xdr:col>22</xdr:col>
      <xdr:colOff>95250</xdr:colOff>
      <xdr:row>42</xdr:row>
      <xdr:rowOff>0</xdr:rowOff>
    </xdr:to>
    <xdr:graphicFrame macro="">
      <xdr:nvGraphicFramePr>
        <xdr:cNvPr id="70" name="Chart 69">
          <a:extLst>
            <a:ext uri="{FF2B5EF4-FFF2-40B4-BE49-F238E27FC236}">
              <a16:creationId xmlns:a16="http://schemas.microsoft.com/office/drawing/2014/main" id="{BB9AF0EE-24CE-4133-92FC-0CDCBEAB27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464820</xdr:colOff>
      <xdr:row>1</xdr:row>
      <xdr:rowOff>83820</xdr:rowOff>
    </xdr:from>
    <xdr:to>
      <xdr:col>1</xdr:col>
      <xdr:colOff>495300</xdr:colOff>
      <xdr:row>3</xdr:row>
      <xdr:rowOff>53340</xdr:rowOff>
    </xdr:to>
    <xdr:sp macro="" textlink="">
      <xdr:nvSpPr>
        <xdr:cNvPr id="2" name="Rectangle 1">
          <a:extLst>
            <a:ext uri="{FF2B5EF4-FFF2-40B4-BE49-F238E27FC236}">
              <a16:creationId xmlns:a16="http://schemas.microsoft.com/office/drawing/2014/main" id="{19578F12-2F24-46BC-BBDB-AA624FC9A08E}"/>
            </a:ext>
          </a:extLst>
        </xdr:cNvPr>
        <xdr:cNvSpPr/>
      </xdr:nvSpPr>
      <xdr:spPr>
        <a:xfrm>
          <a:off x="464820" y="266700"/>
          <a:ext cx="640080" cy="335280"/>
        </a:xfrm>
        <a:prstGeom prst="rect">
          <a:avLst/>
        </a:prstGeom>
        <a:solidFill>
          <a:srgbClr val="1214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392238</xdr:colOff>
      <xdr:row>0</xdr:row>
      <xdr:rowOff>167640</xdr:rowOff>
    </xdr:from>
    <xdr:to>
      <xdr:col>23</xdr:col>
      <xdr:colOff>156018</xdr:colOff>
      <xdr:row>45</xdr:row>
      <xdr:rowOff>53340</xdr:rowOff>
    </xdr:to>
    <xdr:sp macro="" textlink="">
      <xdr:nvSpPr>
        <xdr:cNvPr id="3" name="Rectangle: Rounded Corners 2">
          <a:extLst>
            <a:ext uri="{FF2B5EF4-FFF2-40B4-BE49-F238E27FC236}">
              <a16:creationId xmlns:a16="http://schemas.microsoft.com/office/drawing/2014/main" id="{FA103043-46AD-4A22-BE1C-2B15AAFD9F06}"/>
            </a:ext>
          </a:extLst>
        </xdr:cNvPr>
        <xdr:cNvSpPr/>
      </xdr:nvSpPr>
      <xdr:spPr>
        <a:xfrm>
          <a:off x="392238" y="167640"/>
          <a:ext cx="13784580" cy="8115300"/>
        </a:xfrm>
        <a:prstGeom prst="roundRect">
          <a:avLst>
            <a:gd name="adj" fmla="val 6581"/>
          </a:avLst>
        </a:prstGeom>
        <a:gradFill flip="none" rotWithShape="1">
          <a:gsLst>
            <a:gs pos="0">
              <a:srgbClr val="1F2357"/>
            </a:gs>
            <a:gs pos="75000">
              <a:srgbClr val="10123B"/>
            </a:gs>
          </a:gsLst>
          <a:lin ang="8100000" scaled="1"/>
          <a:tileRect/>
        </a:gradFill>
        <a:ln w="9525">
          <a:gradFill flip="none" rotWithShape="1">
            <a:gsLst>
              <a:gs pos="0">
                <a:srgbClr val="4647A6"/>
              </a:gs>
              <a:gs pos="100000">
                <a:srgbClr val="333787"/>
              </a:gs>
            </a:gsLst>
            <a:lin ang="8100000" scaled="1"/>
            <a:tileRect/>
          </a:grad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ru-RU"/>
            <a:t> </a:t>
          </a:r>
        </a:p>
      </xdr:txBody>
    </xdr:sp>
    <xdr:clientData/>
  </xdr:twoCellAnchor>
  <xdr:twoCellAnchor>
    <xdr:from>
      <xdr:col>1</xdr:col>
      <xdr:colOff>116097</xdr:colOff>
      <xdr:row>2</xdr:row>
      <xdr:rowOff>100664</xdr:rowOff>
    </xdr:from>
    <xdr:to>
      <xdr:col>22</xdr:col>
      <xdr:colOff>458997</xdr:colOff>
      <xdr:row>43</xdr:row>
      <xdr:rowOff>99059</xdr:rowOff>
    </xdr:to>
    <xdr:sp macro="" textlink="">
      <xdr:nvSpPr>
        <xdr:cNvPr id="4" name="Rectangle: Rounded Corners 3">
          <a:extLst>
            <a:ext uri="{FF2B5EF4-FFF2-40B4-BE49-F238E27FC236}">
              <a16:creationId xmlns:a16="http://schemas.microsoft.com/office/drawing/2014/main" id="{D359C0AA-54AB-4B79-A419-63CA3D56A221}"/>
            </a:ext>
          </a:extLst>
        </xdr:cNvPr>
        <xdr:cNvSpPr/>
      </xdr:nvSpPr>
      <xdr:spPr>
        <a:xfrm>
          <a:off x="725697" y="462614"/>
          <a:ext cx="13144500" cy="7418370"/>
        </a:xfrm>
        <a:prstGeom prst="roundRect">
          <a:avLst>
            <a:gd name="adj" fmla="val 5042"/>
          </a:avLst>
        </a:prstGeom>
        <a:gradFill flip="none" rotWithShape="1">
          <a:gsLst>
            <a:gs pos="0">
              <a:srgbClr val="20245A"/>
            </a:gs>
            <a:gs pos="75000">
              <a:srgbClr val="10123B"/>
            </a:gs>
          </a:gsLst>
          <a:lin ang="8100000" scaled="1"/>
          <a:tileRect/>
        </a:gradFill>
        <a:ln w="9525">
          <a:gradFill flip="none" rotWithShape="1">
            <a:gsLst>
              <a:gs pos="0">
                <a:srgbClr val="B9C1FF"/>
              </a:gs>
              <a:gs pos="33000">
                <a:srgbClr val="3D4098"/>
              </a:gs>
              <a:gs pos="100000">
                <a:srgbClr val="333787"/>
              </a:gs>
            </a:gsLst>
            <a:lin ang="9000000" scaled="0"/>
            <a:tileRect/>
          </a:gradFill>
        </a:ln>
        <a:effectLst>
          <a:outerShdw blurRad="2540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99060</xdr:colOff>
      <xdr:row>4</xdr:row>
      <xdr:rowOff>23019</xdr:rowOff>
    </xdr:from>
    <xdr:to>
      <xdr:col>22</xdr:col>
      <xdr:colOff>183490</xdr:colOff>
      <xdr:row>11</xdr:row>
      <xdr:rowOff>125506</xdr:rowOff>
    </xdr:to>
    <xdr:sp macro="" textlink="">
      <xdr:nvSpPr>
        <xdr:cNvPr id="5" name="Rectangle: Rounded Corners 4">
          <a:extLst>
            <a:ext uri="{FF2B5EF4-FFF2-40B4-BE49-F238E27FC236}">
              <a16:creationId xmlns:a16="http://schemas.microsoft.com/office/drawing/2014/main" id="{6F8EBBAA-8200-4703-A620-A23F23A7BA08}"/>
            </a:ext>
          </a:extLst>
        </xdr:cNvPr>
        <xdr:cNvSpPr/>
      </xdr:nvSpPr>
      <xdr:spPr>
        <a:xfrm>
          <a:off x="2537460" y="754539"/>
          <a:ext cx="11057230" cy="1382647"/>
        </a:xfrm>
        <a:prstGeom prst="roundRect">
          <a:avLst>
            <a:gd name="adj" fmla="val 14979"/>
          </a:avLst>
        </a:prstGeom>
        <a:gradFill>
          <a:gsLst>
            <a:gs pos="97000">
              <a:srgbClr val="2C3076"/>
            </a:gs>
            <a:gs pos="5000">
              <a:srgbClr val="2C3076"/>
            </a:gs>
            <a:gs pos="0">
              <a:srgbClr val="323687"/>
            </a:gs>
            <a:gs pos="100000">
              <a:srgbClr val="22255C"/>
            </a:gs>
          </a:gsLst>
          <a:lin ang="108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132193</xdr:colOff>
      <xdr:row>13</xdr:row>
      <xdr:rowOff>22088</xdr:rowOff>
    </xdr:from>
    <xdr:to>
      <xdr:col>13</xdr:col>
      <xdr:colOff>292213</xdr:colOff>
      <xdr:row>30</xdr:row>
      <xdr:rowOff>123825</xdr:rowOff>
    </xdr:to>
    <xdr:sp macro="" textlink="">
      <xdr:nvSpPr>
        <xdr:cNvPr id="6" name="Rectangle: Rounded Corners 5">
          <a:extLst>
            <a:ext uri="{FF2B5EF4-FFF2-40B4-BE49-F238E27FC236}">
              <a16:creationId xmlns:a16="http://schemas.microsoft.com/office/drawing/2014/main" id="{DD38BBF2-DCDD-4704-A197-0444223383A4}"/>
            </a:ext>
          </a:extLst>
        </xdr:cNvPr>
        <xdr:cNvSpPr/>
      </xdr:nvSpPr>
      <xdr:spPr>
        <a:xfrm>
          <a:off x="2570593" y="2374763"/>
          <a:ext cx="5646420" cy="3178312"/>
        </a:xfrm>
        <a:prstGeom prst="roundRect">
          <a:avLst>
            <a:gd name="adj" fmla="val 7935"/>
          </a:avLst>
        </a:prstGeom>
        <a:gradFill>
          <a:gsLst>
            <a:gs pos="0">
              <a:srgbClr val="323687"/>
            </a:gs>
            <a:gs pos="75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435597</xdr:colOff>
      <xdr:row>7</xdr:row>
      <xdr:rowOff>161730</xdr:rowOff>
    </xdr:from>
    <xdr:to>
      <xdr:col>3</xdr:col>
      <xdr:colOff>498058</xdr:colOff>
      <xdr:row>42</xdr:row>
      <xdr:rowOff>38100</xdr:rowOff>
    </xdr:to>
    <xdr:sp macro="" textlink="">
      <xdr:nvSpPr>
        <xdr:cNvPr id="9" name="Rectangle: Rounded Corners 8">
          <a:extLst>
            <a:ext uri="{FF2B5EF4-FFF2-40B4-BE49-F238E27FC236}">
              <a16:creationId xmlns:a16="http://schemas.microsoft.com/office/drawing/2014/main" id="{147112DD-9118-4228-BFE8-953C6FD0F267}"/>
            </a:ext>
          </a:extLst>
        </xdr:cNvPr>
        <xdr:cNvSpPr>
          <a:spLocks noChangeAspect="1"/>
        </xdr:cNvSpPr>
      </xdr:nvSpPr>
      <xdr:spPr>
        <a:xfrm>
          <a:off x="1045197" y="1441890"/>
          <a:ext cx="1281661" cy="6277170"/>
        </a:xfrm>
        <a:prstGeom prst="roundRect">
          <a:avLst>
            <a:gd name="adj" fmla="val 18817"/>
          </a:avLst>
        </a:prstGeom>
        <a:gradFill>
          <a:gsLst>
            <a:gs pos="0">
              <a:srgbClr val="2E317C"/>
            </a:gs>
            <a:gs pos="23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500140</xdr:colOff>
      <xdr:row>8</xdr:row>
      <xdr:rowOff>90747</xdr:rowOff>
    </xdr:from>
    <xdr:to>
      <xdr:col>3</xdr:col>
      <xdr:colOff>405804</xdr:colOff>
      <xdr:row>12</xdr:row>
      <xdr:rowOff>1621</xdr:rowOff>
    </xdr:to>
    <xdr:grpSp>
      <xdr:nvGrpSpPr>
        <xdr:cNvPr id="10" name="Group 9">
          <a:hlinkClick xmlns:r="http://schemas.openxmlformats.org/officeDocument/2006/relationships" r:id="rId1"/>
          <a:extLst>
            <a:ext uri="{FF2B5EF4-FFF2-40B4-BE49-F238E27FC236}">
              <a16:creationId xmlns:a16="http://schemas.microsoft.com/office/drawing/2014/main" id="{8D2D8B82-CFCF-4091-9207-BF8B8D1334E8}"/>
            </a:ext>
          </a:extLst>
        </xdr:cNvPr>
        <xdr:cNvGrpSpPr/>
      </xdr:nvGrpSpPr>
      <xdr:grpSpPr>
        <a:xfrm>
          <a:off x="1109740" y="1538547"/>
          <a:ext cx="1124864" cy="634774"/>
          <a:chOff x="1109740" y="1553787"/>
          <a:chExt cx="1124864" cy="642394"/>
        </a:xfrm>
      </xdr:grpSpPr>
      <xdr:pic>
        <xdr:nvPicPr>
          <xdr:cNvPr id="11" name="Graphic 10" descr="Home with solid fill">
            <a:extLst>
              <a:ext uri="{FF2B5EF4-FFF2-40B4-BE49-F238E27FC236}">
                <a16:creationId xmlns:a16="http://schemas.microsoft.com/office/drawing/2014/main" id="{8EBE0274-D982-8C92-9964-803B305FD16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56113" y="1553787"/>
            <a:ext cx="426720" cy="426720"/>
          </a:xfrm>
          <a:prstGeom prst="rect">
            <a:avLst/>
          </a:prstGeom>
          <a:effectLst/>
        </xdr:spPr>
      </xdr:pic>
      <xdr:sp macro="" textlink="#REF!">
        <xdr:nvSpPr>
          <xdr:cNvPr id="12" name="TextBox 11">
            <a:extLst>
              <a:ext uri="{FF2B5EF4-FFF2-40B4-BE49-F238E27FC236}">
                <a16:creationId xmlns:a16="http://schemas.microsoft.com/office/drawing/2014/main" id="{D4177DD4-7E9F-0375-892B-E14F23AC53F4}"/>
              </a:ext>
            </a:extLst>
          </xdr:cNvPr>
          <xdr:cNvSpPr txBox="1"/>
        </xdr:nvSpPr>
        <xdr:spPr>
          <a:xfrm>
            <a:off x="1109740" y="1935244"/>
            <a:ext cx="1124864" cy="260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3D42D12-6D1C-4BD6-BF7A-FB3615575702}" type="TxLink">
              <a:rPr lang="en-US" sz="1400" b="0" i="0" u="none" strike="noStrike">
                <a:solidFill>
                  <a:srgbClr val="6372A4"/>
                </a:solidFill>
                <a:latin typeface="Aptos Narrow"/>
                <a:ea typeface="+mn-ea"/>
                <a:cs typeface="+mn-cs"/>
              </a:rPr>
              <a:pPr marL="0" indent="0" algn="ctr"/>
              <a:t>Dashboard</a:t>
            </a:fld>
            <a:endParaRPr lang="ru-RU" sz="1400" b="0" i="0" u="none" strike="noStrike">
              <a:solidFill>
                <a:srgbClr val="6372A4"/>
              </a:solidFill>
              <a:latin typeface="Aptos Narrow"/>
              <a:ea typeface="+mn-ea"/>
              <a:cs typeface="+mn-cs"/>
            </a:endParaRPr>
          </a:p>
        </xdr:txBody>
      </xdr:sp>
    </xdr:grpSp>
    <xdr:clientData/>
  </xdr:twoCellAnchor>
  <xdr:twoCellAnchor>
    <xdr:from>
      <xdr:col>14</xdr:col>
      <xdr:colOff>604780</xdr:colOff>
      <xdr:row>13</xdr:row>
      <xdr:rowOff>7620</xdr:rowOff>
    </xdr:from>
    <xdr:to>
      <xdr:col>16</xdr:col>
      <xdr:colOff>363532</xdr:colOff>
      <xdr:row>14</xdr:row>
      <xdr:rowOff>82906</xdr:rowOff>
    </xdr:to>
    <xdr:sp macro="" textlink="$C$60">
      <xdr:nvSpPr>
        <xdr:cNvPr id="13" name="TextBox 12">
          <a:extLst>
            <a:ext uri="{FF2B5EF4-FFF2-40B4-BE49-F238E27FC236}">
              <a16:creationId xmlns:a16="http://schemas.microsoft.com/office/drawing/2014/main" id="{077DEA2A-404F-49E7-A67C-E2D07C735CE8}"/>
            </a:ext>
          </a:extLst>
        </xdr:cNvPr>
        <xdr:cNvSpPr txBox="1"/>
      </xdr:nvSpPr>
      <xdr:spPr>
        <a:xfrm>
          <a:off x="9139180" y="2385060"/>
          <a:ext cx="977952"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A33B9D-F834-4294-BE87-29F6752F0B43}" type="TxLink">
            <a:rPr lang="en-US" sz="1200" b="0" i="0" u="none" strike="noStrike">
              <a:solidFill>
                <a:schemeClr val="tx2">
                  <a:lumMod val="25000"/>
                  <a:lumOff val="75000"/>
                </a:schemeClr>
              </a:solidFill>
              <a:latin typeface="Aptos Narrow"/>
            </a:rPr>
            <a:pPr algn="ctr"/>
            <a:t> </a:t>
          </a:fld>
          <a:endParaRPr lang="ru-RU" sz="1600" b="0">
            <a:solidFill>
              <a:schemeClr val="tx2">
                <a:lumMod val="25000"/>
                <a:lumOff val="75000"/>
              </a:schemeClr>
            </a:solidFill>
          </a:endParaRPr>
        </a:p>
      </xdr:txBody>
    </xdr:sp>
    <xdr:clientData/>
  </xdr:twoCellAnchor>
  <xdr:twoCellAnchor>
    <xdr:from>
      <xdr:col>14</xdr:col>
      <xdr:colOff>604780</xdr:colOff>
      <xdr:row>14</xdr:row>
      <xdr:rowOff>63292</xdr:rowOff>
    </xdr:from>
    <xdr:to>
      <xdr:col>16</xdr:col>
      <xdr:colOff>363532</xdr:colOff>
      <xdr:row>15</xdr:row>
      <xdr:rowOff>164395</xdr:rowOff>
    </xdr:to>
    <xdr:sp macro="" textlink="$D$55">
      <xdr:nvSpPr>
        <xdr:cNvPr id="14" name="TextBox 13">
          <a:extLst>
            <a:ext uri="{FF2B5EF4-FFF2-40B4-BE49-F238E27FC236}">
              <a16:creationId xmlns:a16="http://schemas.microsoft.com/office/drawing/2014/main" id="{4E8F191F-07F4-4CFD-B766-5498440E688A}"/>
            </a:ext>
          </a:extLst>
        </xdr:cNvPr>
        <xdr:cNvSpPr txBox="1"/>
      </xdr:nvSpPr>
      <xdr:spPr>
        <a:xfrm>
          <a:off x="9139180" y="2623612"/>
          <a:ext cx="977952" cy="28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C2A362-1984-4E0F-B2F1-1722CB1B7A1B}" type="TxLink">
            <a:rPr lang="en-US" sz="2400" b="0" i="0" u="none" strike="noStrike">
              <a:solidFill>
                <a:schemeClr val="bg1"/>
              </a:solidFill>
              <a:latin typeface="Aptos Narrow"/>
            </a:rPr>
            <a:pPr algn="ctr"/>
            <a:t> </a:t>
          </a:fld>
          <a:endParaRPr lang="ru-RU" sz="2400" b="0">
            <a:solidFill>
              <a:schemeClr val="bg1"/>
            </a:solidFill>
          </a:endParaRPr>
        </a:p>
      </xdr:txBody>
    </xdr:sp>
    <xdr:clientData/>
  </xdr:twoCellAnchor>
  <xdr:twoCellAnchor>
    <xdr:from>
      <xdr:col>7</xdr:col>
      <xdr:colOff>332740</xdr:colOff>
      <xdr:row>20</xdr:row>
      <xdr:rowOff>124968</xdr:rowOff>
    </xdr:from>
    <xdr:to>
      <xdr:col>13</xdr:col>
      <xdr:colOff>434341</xdr:colOff>
      <xdr:row>34</xdr:row>
      <xdr:rowOff>45720</xdr:rowOff>
    </xdr:to>
    <xdr:graphicFrame macro="">
      <xdr:nvGraphicFramePr>
        <xdr:cNvPr id="15" name="Chart 14" hidden="1">
          <a:extLst>
            <a:ext uri="{FF2B5EF4-FFF2-40B4-BE49-F238E27FC236}">
              <a16:creationId xmlns:a16="http://schemas.microsoft.com/office/drawing/2014/main" id="{7473508B-4F59-4DEA-984C-68A3B503AD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392614</xdr:colOff>
      <xdr:row>25</xdr:row>
      <xdr:rowOff>63955</xdr:rowOff>
    </xdr:from>
    <xdr:to>
      <xdr:col>15</xdr:col>
      <xdr:colOff>404806</xdr:colOff>
      <xdr:row>29</xdr:row>
      <xdr:rowOff>127963</xdr:rowOff>
    </xdr:to>
    <xdr:sp macro="" textlink="$D$76">
      <xdr:nvSpPr>
        <xdr:cNvPr id="16" name="TextBox 15">
          <a:extLst>
            <a:ext uri="{FF2B5EF4-FFF2-40B4-BE49-F238E27FC236}">
              <a16:creationId xmlns:a16="http://schemas.microsoft.com/office/drawing/2014/main" id="{3A7597DB-9AC4-4D5A-90DA-271C785EAF40}"/>
            </a:ext>
          </a:extLst>
        </xdr:cNvPr>
        <xdr:cNvSpPr txBox="1"/>
      </xdr:nvSpPr>
      <xdr:spPr>
        <a:xfrm>
          <a:off x="8927014" y="4635955"/>
          <a:ext cx="621792" cy="795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1AC67DD-5614-4ED2-B1AD-9682E26BEFA2}" type="TxLink">
            <a:rPr lang="en-US" sz="800" b="0" i="0" u="none" strike="noStrike">
              <a:solidFill>
                <a:schemeClr val="tx2">
                  <a:lumMod val="25000"/>
                  <a:lumOff val="75000"/>
                </a:schemeClr>
              </a:solidFill>
              <a:latin typeface="Aptos Narrow"/>
            </a:rPr>
            <a:pPr algn="l"/>
            <a:t> </a:t>
          </a:fld>
          <a:endParaRPr lang="ru-RU" sz="800" b="0">
            <a:solidFill>
              <a:schemeClr val="tx2">
                <a:lumMod val="25000"/>
                <a:lumOff val="75000"/>
              </a:schemeClr>
            </a:solidFill>
          </a:endParaRPr>
        </a:p>
      </xdr:txBody>
    </xdr:sp>
    <xdr:clientData/>
  </xdr:twoCellAnchor>
  <xdr:twoCellAnchor>
    <xdr:from>
      <xdr:col>19</xdr:col>
      <xdr:colOff>34668</xdr:colOff>
      <xdr:row>22</xdr:row>
      <xdr:rowOff>147769</xdr:rowOff>
    </xdr:from>
    <xdr:to>
      <xdr:col>20</xdr:col>
      <xdr:colOff>447672</xdr:colOff>
      <xdr:row>24</xdr:row>
      <xdr:rowOff>40175</xdr:rowOff>
    </xdr:to>
    <xdr:sp macro="" textlink="$A$53">
      <xdr:nvSpPr>
        <xdr:cNvPr id="17" name="TextBox 16">
          <a:extLst>
            <a:ext uri="{FF2B5EF4-FFF2-40B4-BE49-F238E27FC236}">
              <a16:creationId xmlns:a16="http://schemas.microsoft.com/office/drawing/2014/main" id="{E820F641-F10A-4806-99FB-A93CF2449777}"/>
            </a:ext>
          </a:extLst>
        </xdr:cNvPr>
        <xdr:cNvSpPr txBox="1"/>
      </xdr:nvSpPr>
      <xdr:spPr>
        <a:xfrm>
          <a:off x="11617068" y="4171129"/>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1732DB7-45E1-47AD-8A64-12C1477C1F51}" type="TxLink">
            <a:rPr lang="en-US" sz="1400" b="0" i="0" u="none" strike="noStrike">
              <a:solidFill>
                <a:schemeClr val="tx2">
                  <a:lumMod val="25000"/>
                  <a:lumOff val="75000"/>
                </a:schemeClr>
              </a:solidFill>
              <a:latin typeface="Aptos Narrow"/>
            </a:rPr>
            <a:pPr algn="l"/>
            <a:t> </a:t>
          </a:fld>
          <a:endParaRPr lang="ru-RU" sz="2000">
            <a:solidFill>
              <a:schemeClr val="tx2">
                <a:lumMod val="25000"/>
                <a:lumOff val="75000"/>
              </a:schemeClr>
            </a:solidFill>
          </a:endParaRPr>
        </a:p>
      </xdr:txBody>
    </xdr:sp>
    <xdr:clientData/>
  </xdr:twoCellAnchor>
  <xdr:twoCellAnchor>
    <xdr:from>
      <xdr:col>19</xdr:col>
      <xdr:colOff>34668</xdr:colOff>
      <xdr:row>25</xdr:row>
      <xdr:rowOff>48666</xdr:rowOff>
    </xdr:from>
    <xdr:to>
      <xdr:col>20</xdr:col>
      <xdr:colOff>447672</xdr:colOff>
      <xdr:row>26</xdr:row>
      <xdr:rowOff>123952</xdr:rowOff>
    </xdr:to>
    <xdr:sp macro="" textlink="$A$54">
      <xdr:nvSpPr>
        <xdr:cNvPr id="18" name="TextBox 17">
          <a:extLst>
            <a:ext uri="{FF2B5EF4-FFF2-40B4-BE49-F238E27FC236}">
              <a16:creationId xmlns:a16="http://schemas.microsoft.com/office/drawing/2014/main" id="{C9277C92-2A4D-4480-85EA-4663911B504C}"/>
            </a:ext>
          </a:extLst>
        </xdr:cNvPr>
        <xdr:cNvSpPr txBox="1"/>
      </xdr:nvSpPr>
      <xdr:spPr>
        <a:xfrm>
          <a:off x="11617068" y="4620666"/>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4132016-B00B-4926-87EE-A0F664231BBC}" type="TxLink">
            <a:rPr lang="en-US" sz="1400" b="0" i="0" u="none" strike="noStrike">
              <a:solidFill>
                <a:schemeClr val="tx2">
                  <a:lumMod val="25000"/>
                  <a:lumOff val="75000"/>
                </a:schemeClr>
              </a:solidFill>
              <a:latin typeface="Aptos Narrow"/>
            </a:rPr>
            <a:pPr algn="l"/>
            <a:t> </a:t>
          </a:fld>
          <a:endParaRPr lang="ru-RU" sz="1600">
            <a:solidFill>
              <a:schemeClr val="tx2">
                <a:lumMod val="25000"/>
                <a:lumOff val="75000"/>
              </a:schemeClr>
            </a:solidFill>
          </a:endParaRPr>
        </a:p>
      </xdr:txBody>
    </xdr:sp>
    <xdr:clientData/>
  </xdr:twoCellAnchor>
  <xdr:twoCellAnchor>
    <xdr:from>
      <xdr:col>19</xdr:col>
      <xdr:colOff>34668</xdr:colOff>
      <xdr:row>27</xdr:row>
      <xdr:rowOff>132443</xdr:rowOff>
    </xdr:from>
    <xdr:to>
      <xdr:col>20</xdr:col>
      <xdr:colOff>447672</xdr:colOff>
      <xdr:row>29</xdr:row>
      <xdr:rowOff>24849</xdr:rowOff>
    </xdr:to>
    <xdr:sp macro="" textlink="$A$55">
      <xdr:nvSpPr>
        <xdr:cNvPr id="19" name="TextBox 18">
          <a:extLst>
            <a:ext uri="{FF2B5EF4-FFF2-40B4-BE49-F238E27FC236}">
              <a16:creationId xmlns:a16="http://schemas.microsoft.com/office/drawing/2014/main" id="{2CE9032C-75B4-441A-BA41-529CB5921997}"/>
            </a:ext>
          </a:extLst>
        </xdr:cNvPr>
        <xdr:cNvSpPr txBox="1"/>
      </xdr:nvSpPr>
      <xdr:spPr>
        <a:xfrm>
          <a:off x="11617068" y="5070203"/>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800EC6F-4F9A-4655-982C-0D43CE89D16F}" type="TxLink">
            <a:rPr lang="en-US" sz="1400" b="0" i="0" u="none" strike="noStrike">
              <a:solidFill>
                <a:schemeClr val="tx2">
                  <a:lumMod val="25000"/>
                  <a:lumOff val="75000"/>
                </a:schemeClr>
              </a:solidFill>
              <a:latin typeface="Aptos Narrow"/>
            </a:rPr>
            <a:pPr algn="l"/>
            <a:t> </a:t>
          </a:fld>
          <a:endParaRPr lang="ru-RU" sz="2000">
            <a:solidFill>
              <a:schemeClr val="tx2">
                <a:lumMod val="25000"/>
                <a:lumOff val="75000"/>
              </a:schemeClr>
            </a:solidFill>
          </a:endParaRPr>
        </a:p>
      </xdr:txBody>
    </xdr:sp>
    <xdr:clientData/>
  </xdr:twoCellAnchor>
  <xdr:twoCellAnchor>
    <xdr:from>
      <xdr:col>20</xdr:col>
      <xdr:colOff>263268</xdr:colOff>
      <xdr:row>22</xdr:row>
      <xdr:rowOff>147769</xdr:rowOff>
    </xdr:from>
    <xdr:to>
      <xdr:col>22</xdr:col>
      <xdr:colOff>66672</xdr:colOff>
      <xdr:row>24</xdr:row>
      <xdr:rowOff>40175</xdr:rowOff>
    </xdr:to>
    <xdr:sp macro="" textlink="$B$53">
      <xdr:nvSpPr>
        <xdr:cNvPr id="21" name="TextBox 20">
          <a:extLst>
            <a:ext uri="{FF2B5EF4-FFF2-40B4-BE49-F238E27FC236}">
              <a16:creationId xmlns:a16="http://schemas.microsoft.com/office/drawing/2014/main" id="{987A9F00-4B0E-40DD-8E06-D81F2A505C1C}"/>
            </a:ext>
          </a:extLst>
        </xdr:cNvPr>
        <xdr:cNvSpPr txBox="1"/>
      </xdr:nvSpPr>
      <xdr:spPr>
        <a:xfrm>
          <a:off x="12455268" y="4171129"/>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E47465B1-4BE7-4C23-8B11-42192BF425CF}" type="TxLink">
            <a:rPr lang="en-US" sz="1400" b="0" i="0" u="none" strike="noStrike">
              <a:solidFill>
                <a:schemeClr val="tx2">
                  <a:lumMod val="25000"/>
                  <a:lumOff val="75000"/>
                </a:schemeClr>
              </a:solidFill>
              <a:latin typeface="Aptos Narrow"/>
            </a:rPr>
            <a:pPr algn="r"/>
            <a:t> </a:t>
          </a:fld>
          <a:endParaRPr lang="ru-RU" sz="2800">
            <a:solidFill>
              <a:schemeClr val="tx2">
                <a:lumMod val="25000"/>
                <a:lumOff val="75000"/>
              </a:schemeClr>
            </a:solidFill>
          </a:endParaRPr>
        </a:p>
      </xdr:txBody>
    </xdr:sp>
    <xdr:clientData/>
  </xdr:twoCellAnchor>
  <xdr:twoCellAnchor>
    <xdr:from>
      <xdr:col>20</xdr:col>
      <xdr:colOff>263268</xdr:colOff>
      <xdr:row>25</xdr:row>
      <xdr:rowOff>48666</xdr:rowOff>
    </xdr:from>
    <xdr:to>
      <xdr:col>22</xdr:col>
      <xdr:colOff>66672</xdr:colOff>
      <xdr:row>26</xdr:row>
      <xdr:rowOff>123952</xdr:rowOff>
    </xdr:to>
    <xdr:sp macro="" textlink="$B$54">
      <xdr:nvSpPr>
        <xdr:cNvPr id="22" name="TextBox 21">
          <a:extLst>
            <a:ext uri="{FF2B5EF4-FFF2-40B4-BE49-F238E27FC236}">
              <a16:creationId xmlns:a16="http://schemas.microsoft.com/office/drawing/2014/main" id="{EA7E9C16-8542-46E8-B692-65F55CA33987}"/>
            </a:ext>
          </a:extLst>
        </xdr:cNvPr>
        <xdr:cNvSpPr txBox="1"/>
      </xdr:nvSpPr>
      <xdr:spPr>
        <a:xfrm>
          <a:off x="12455268" y="4620666"/>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3204228-334F-480A-BAD4-3079A2B6170F}" type="TxLink">
            <a:rPr lang="en-US" sz="1400" b="0" i="0" u="none" strike="noStrike">
              <a:solidFill>
                <a:schemeClr val="tx2">
                  <a:lumMod val="25000"/>
                  <a:lumOff val="75000"/>
                </a:schemeClr>
              </a:solidFill>
              <a:latin typeface="Aptos Narrow"/>
            </a:rPr>
            <a:pPr algn="r"/>
            <a:t> </a:t>
          </a:fld>
          <a:endParaRPr lang="ru-RU" sz="2000">
            <a:solidFill>
              <a:schemeClr val="tx2">
                <a:lumMod val="25000"/>
                <a:lumOff val="75000"/>
              </a:schemeClr>
            </a:solidFill>
          </a:endParaRPr>
        </a:p>
      </xdr:txBody>
    </xdr:sp>
    <xdr:clientData/>
  </xdr:twoCellAnchor>
  <xdr:twoCellAnchor>
    <xdr:from>
      <xdr:col>20</xdr:col>
      <xdr:colOff>263268</xdr:colOff>
      <xdr:row>27</xdr:row>
      <xdr:rowOff>132443</xdr:rowOff>
    </xdr:from>
    <xdr:to>
      <xdr:col>22</xdr:col>
      <xdr:colOff>66672</xdr:colOff>
      <xdr:row>29</xdr:row>
      <xdr:rowOff>24849</xdr:rowOff>
    </xdr:to>
    <xdr:sp macro="" textlink="$B$55">
      <xdr:nvSpPr>
        <xdr:cNvPr id="23" name="TextBox 22">
          <a:extLst>
            <a:ext uri="{FF2B5EF4-FFF2-40B4-BE49-F238E27FC236}">
              <a16:creationId xmlns:a16="http://schemas.microsoft.com/office/drawing/2014/main" id="{1F00AD06-B827-479D-945F-36112687545B}"/>
            </a:ext>
          </a:extLst>
        </xdr:cNvPr>
        <xdr:cNvSpPr txBox="1"/>
      </xdr:nvSpPr>
      <xdr:spPr>
        <a:xfrm>
          <a:off x="12455268" y="5070203"/>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E9644FEF-9BA8-41DF-881D-E8A1244A7CAE}" type="TxLink">
            <a:rPr lang="en-US" sz="1400" b="0" i="0" u="none" strike="noStrike">
              <a:solidFill>
                <a:schemeClr val="tx2">
                  <a:lumMod val="25000"/>
                  <a:lumOff val="75000"/>
                </a:schemeClr>
              </a:solidFill>
              <a:latin typeface="Aptos Narrow"/>
            </a:rPr>
            <a:pPr algn="r"/>
            <a:t> </a:t>
          </a:fld>
          <a:endParaRPr lang="ru-RU" sz="2800">
            <a:solidFill>
              <a:schemeClr val="tx2">
                <a:lumMod val="25000"/>
                <a:lumOff val="75000"/>
              </a:schemeClr>
            </a:solidFill>
          </a:endParaRPr>
        </a:p>
      </xdr:txBody>
    </xdr:sp>
    <xdr:clientData/>
  </xdr:twoCellAnchor>
  <xdr:twoCellAnchor>
    <xdr:from>
      <xdr:col>20</xdr:col>
      <xdr:colOff>328582</xdr:colOff>
      <xdr:row>32</xdr:row>
      <xdr:rowOff>109539</xdr:rowOff>
    </xdr:from>
    <xdr:to>
      <xdr:col>22</xdr:col>
      <xdr:colOff>131986</xdr:colOff>
      <xdr:row>33</xdr:row>
      <xdr:rowOff>184825</xdr:rowOff>
    </xdr:to>
    <xdr:sp macro="" textlink="$B$56">
      <xdr:nvSpPr>
        <xdr:cNvPr id="24" name="TextBox 23">
          <a:extLst>
            <a:ext uri="{FF2B5EF4-FFF2-40B4-BE49-F238E27FC236}">
              <a16:creationId xmlns:a16="http://schemas.microsoft.com/office/drawing/2014/main" id="{0048CC3D-0D98-45A7-8FD3-F57C0951AA00}"/>
            </a:ext>
          </a:extLst>
        </xdr:cNvPr>
        <xdr:cNvSpPr txBox="1"/>
      </xdr:nvSpPr>
      <xdr:spPr>
        <a:xfrm>
          <a:off x="12520582" y="5961699"/>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8F9D2ED-7794-4CAD-A140-112658E75D64}" type="TxLink">
            <a:rPr lang="en-US" sz="1400" b="0" i="0" u="none" strike="noStrike">
              <a:solidFill>
                <a:schemeClr val="tx2">
                  <a:lumMod val="25000"/>
                  <a:lumOff val="75000"/>
                </a:schemeClr>
              </a:solidFill>
              <a:latin typeface="Aptos Narrow"/>
              <a:ea typeface="+mn-ea"/>
              <a:cs typeface="+mn-cs"/>
            </a:rPr>
            <a:pPr marL="0" indent="0" algn="r"/>
            <a:t>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20</xdr:col>
      <xdr:colOff>263268</xdr:colOff>
      <xdr:row>32</xdr:row>
      <xdr:rowOff>117117</xdr:rowOff>
    </xdr:from>
    <xdr:to>
      <xdr:col>22</xdr:col>
      <xdr:colOff>66672</xdr:colOff>
      <xdr:row>34</xdr:row>
      <xdr:rowOff>9523</xdr:rowOff>
    </xdr:to>
    <xdr:sp macro="" textlink="$B$57">
      <xdr:nvSpPr>
        <xdr:cNvPr id="25" name="TextBox 24">
          <a:extLst>
            <a:ext uri="{FF2B5EF4-FFF2-40B4-BE49-F238E27FC236}">
              <a16:creationId xmlns:a16="http://schemas.microsoft.com/office/drawing/2014/main" id="{7A8605A5-8A14-49E5-9CBD-F81DBAAA2521}"/>
            </a:ext>
          </a:extLst>
        </xdr:cNvPr>
        <xdr:cNvSpPr txBox="1"/>
      </xdr:nvSpPr>
      <xdr:spPr>
        <a:xfrm>
          <a:off x="12455268" y="596927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34374E5-FE8C-4C24-ABA4-7352FE20634F}" type="TxLink">
            <a:rPr lang="en-US" sz="1400" b="0" i="0" u="none" strike="noStrike">
              <a:solidFill>
                <a:schemeClr val="tx2">
                  <a:lumMod val="25000"/>
                  <a:lumOff val="75000"/>
                </a:schemeClr>
              </a:solidFill>
              <a:latin typeface="Aptos Narrow"/>
              <a:ea typeface="+mn-ea"/>
              <a:cs typeface="+mn-cs"/>
            </a:rPr>
            <a:pPr marL="0" indent="0" algn="r"/>
            <a:t>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2</xdr:col>
      <xdr:colOff>251460</xdr:colOff>
      <xdr:row>3</xdr:row>
      <xdr:rowOff>175260</xdr:rowOff>
    </xdr:from>
    <xdr:to>
      <xdr:col>4</xdr:col>
      <xdr:colOff>10212</xdr:colOff>
      <xdr:row>6</xdr:row>
      <xdr:rowOff>137160</xdr:rowOff>
    </xdr:to>
    <xdr:sp macro="" textlink="#REF!">
      <xdr:nvSpPr>
        <xdr:cNvPr id="26" name="TextBox 25">
          <a:extLst>
            <a:ext uri="{FF2B5EF4-FFF2-40B4-BE49-F238E27FC236}">
              <a16:creationId xmlns:a16="http://schemas.microsoft.com/office/drawing/2014/main" id="{D2B44E3F-E1AE-448B-817F-47BE4DED576C}"/>
            </a:ext>
          </a:extLst>
        </xdr:cNvPr>
        <xdr:cNvSpPr txBox="1"/>
      </xdr:nvSpPr>
      <xdr:spPr>
        <a:xfrm>
          <a:off x="1470660" y="723900"/>
          <a:ext cx="977952" cy="510540"/>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chemeClr val="tx2">
                  <a:lumMod val="10000"/>
                  <a:lumOff val="90000"/>
                </a:schemeClr>
              </a:solidFill>
              <a:latin typeface="Aptos Narrow"/>
              <a:ea typeface="+mn-ea"/>
              <a:cs typeface="+mn-cs"/>
            </a:rPr>
            <a:t>Macro Economics</a:t>
          </a:r>
          <a:endParaRPr lang="ru-RU" sz="1200" b="0" i="0" u="none" strike="noStrike">
            <a:solidFill>
              <a:schemeClr val="tx2">
                <a:lumMod val="10000"/>
                <a:lumOff val="90000"/>
              </a:schemeClr>
            </a:solidFill>
            <a:latin typeface="Aptos Narrow"/>
            <a:ea typeface="+mn-ea"/>
            <a:cs typeface="+mn-cs"/>
          </a:endParaRPr>
        </a:p>
      </xdr:txBody>
    </xdr:sp>
    <xdr:clientData/>
  </xdr:twoCellAnchor>
  <xdr:twoCellAnchor>
    <xdr:from>
      <xdr:col>2</xdr:col>
      <xdr:colOff>266700</xdr:colOff>
      <xdr:row>4</xdr:row>
      <xdr:rowOff>64770</xdr:rowOff>
    </xdr:from>
    <xdr:to>
      <xdr:col>2</xdr:col>
      <xdr:colOff>266700</xdr:colOff>
      <xdr:row>6</xdr:row>
      <xdr:rowOff>64770</xdr:rowOff>
    </xdr:to>
    <xdr:cxnSp macro="">
      <xdr:nvCxnSpPr>
        <xdr:cNvPr id="27" name="Straight Connector 26">
          <a:extLst>
            <a:ext uri="{FF2B5EF4-FFF2-40B4-BE49-F238E27FC236}">
              <a16:creationId xmlns:a16="http://schemas.microsoft.com/office/drawing/2014/main" id="{545D1CF3-8D24-40FA-B98F-0E12F8A49F88}"/>
            </a:ext>
          </a:extLst>
        </xdr:cNvPr>
        <xdr:cNvCxnSpPr/>
      </xdr:nvCxnSpPr>
      <xdr:spPr>
        <a:xfrm>
          <a:off x="1485900" y="796290"/>
          <a:ext cx="0" cy="365760"/>
        </a:xfrm>
        <a:prstGeom prst="line">
          <a:avLst/>
        </a:prstGeom>
        <a:ln w="9525">
          <a:solidFill>
            <a:schemeClr val="tx2">
              <a:lumMod val="25000"/>
              <a:lumOff val="75000"/>
            </a:schemeClr>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xdr:col>
      <xdr:colOff>385482</xdr:colOff>
      <xdr:row>4</xdr:row>
      <xdr:rowOff>116542</xdr:rowOff>
    </xdr:from>
    <xdr:to>
      <xdr:col>2</xdr:col>
      <xdr:colOff>215153</xdr:colOff>
      <xdr:row>6</xdr:row>
      <xdr:rowOff>18932</xdr:rowOff>
    </xdr:to>
    <xdr:pic>
      <xdr:nvPicPr>
        <xdr:cNvPr id="28" name="Picture 27">
          <a:extLst>
            <a:ext uri="{FF2B5EF4-FFF2-40B4-BE49-F238E27FC236}">
              <a16:creationId xmlns:a16="http://schemas.microsoft.com/office/drawing/2014/main" id="{080E85A1-3838-4C24-A331-1222E8B4EAAA}"/>
            </a:ext>
          </a:extLst>
        </xdr:cNvPr>
        <xdr:cNvPicPr>
          <a:picLocks noChangeAspect="1"/>
        </xdr:cNvPicPr>
      </xdr:nvPicPr>
      <xdr:blipFill>
        <a:blip xmlns:r="http://schemas.openxmlformats.org/officeDocument/2006/relationships" r:embed="rId5"/>
        <a:stretch>
          <a:fillRect/>
        </a:stretch>
      </xdr:blipFill>
      <xdr:spPr>
        <a:xfrm>
          <a:off x="995082" y="848062"/>
          <a:ext cx="439271" cy="268150"/>
        </a:xfrm>
        <a:prstGeom prst="rect">
          <a:avLst/>
        </a:prstGeom>
      </xdr:spPr>
    </xdr:pic>
    <xdr:clientData/>
  </xdr:twoCellAnchor>
  <xdr:twoCellAnchor>
    <xdr:from>
      <xdr:col>1</xdr:col>
      <xdr:colOff>514296</xdr:colOff>
      <xdr:row>12</xdr:row>
      <xdr:rowOff>31339</xdr:rowOff>
    </xdr:from>
    <xdr:to>
      <xdr:col>3</xdr:col>
      <xdr:colOff>419960</xdr:colOff>
      <xdr:row>16</xdr:row>
      <xdr:rowOff>5418</xdr:rowOff>
    </xdr:to>
    <xdr:grpSp>
      <xdr:nvGrpSpPr>
        <xdr:cNvPr id="29" name="Group 28">
          <a:hlinkClick xmlns:r="http://schemas.openxmlformats.org/officeDocument/2006/relationships" r:id="rId6"/>
          <a:extLst>
            <a:ext uri="{FF2B5EF4-FFF2-40B4-BE49-F238E27FC236}">
              <a16:creationId xmlns:a16="http://schemas.microsoft.com/office/drawing/2014/main" id="{2BF94DA3-28C4-4EB3-86CC-E4E6DEC983A8}"/>
            </a:ext>
          </a:extLst>
        </xdr:cNvPr>
        <xdr:cNvGrpSpPr/>
      </xdr:nvGrpSpPr>
      <xdr:grpSpPr>
        <a:xfrm>
          <a:off x="1123896" y="2203039"/>
          <a:ext cx="1124864" cy="697979"/>
          <a:chOff x="1123896" y="2225899"/>
          <a:chExt cx="1124864" cy="705599"/>
        </a:xfrm>
        <a:effectLst/>
      </xdr:grpSpPr>
      <xdr:sp macro="" textlink="#REF!">
        <xdr:nvSpPr>
          <xdr:cNvPr id="30" name="TextBox 29">
            <a:extLst>
              <a:ext uri="{FF2B5EF4-FFF2-40B4-BE49-F238E27FC236}">
                <a16:creationId xmlns:a16="http://schemas.microsoft.com/office/drawing/2014/main" id="{2AE112F2-A99D-9AEF-484C-39C246EBDF64}"/>
              </a:ext>
            </a:extLst>
          </xdr:cNvPr>
          <xdr:cNvSpPr txBox="1"/>
        </xdr:nvSpPr>
        <xdr:spPr>
          <a:xfrm>
            <a:off x="1123896" y="2675982"/>
            <a:ext cx="1124864" cy="255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Real Sector</a:t>
            </a:r>
          </a:p>
        </xdr:txBody>
      </xdr:sp>
      <xdr:pic>
        <xdr:nvPicPr>
          <xdr:cNvPr id="31" name="Graphic 30" descr="Factory outline">
            <a:extLst>
              <a:ext uri="{FF2B5EF4-FFF2-40B4-BE49-F238E27FC236}">
                <a16:creationId xmlns:a16="http://schemas.microsoft.com/office/drawing/2014/main" id="{21925509-695B-53C4-DE68-9F8F799F6DF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421216" y="2225899"/>
            <a:ext cx="527019" cy="535332"/>
          </a:xfrm>
          <a:prstGeom prst="rect">
            <a:avLst/>
          </a:prstGeom>
          <a:effectLst/>
        </xdr:spPr>
      </xdr:pic>
    </xdr:grpSp>
    <xdr:clientData/>
  </xdr:twoCellAnchor>
  <xdr:twoCellAnchor>
    <xdr:from>
      <xdr:col>1</xdr:col>
      <xdr:colOff>493513</xdr:colOff>
      <xdr:row>16</xdr:row>
      <xdr:rowOff>44807</xdr:rowOff>
    </xdr:from>
    <xdr:to>
      <xdr:col>3</xdr:col>
      <xdr:colOff>399177</xdr:colOff>
      <xdr:row>20</xdr:row>
      <xdr:rowOff>10031</xdr:rowOff>
    </xdr:to>
    <xdr:grpSp>
      <xdr:nvGrpSpPr>
        <xdr:cNvPr id="32" name="Group 31">
          <a:hlinkClick xmlns:r="http://schemas.openxmlformats.org/officeDocument/2006/relationships" r:id="rId9"/>
          <a:extLst>
            <a:ext uri="{FF2B5EF4-FFF2-40B4-BE49-F238E27FC236}">
              <a16:creationId xmlns:a16="http://schemas.microsoft.com/office/drawing/2014/main" id="{90601298-497F-4896-93FE-BAE60EBD7CD4}"/>
            </a:ext>
          </a:extLst>
        </xdr:cNvPr>
        <xdr:cNvGrpSpPr/>
      </xdr:nvGrpSpPr>
      <xdr:grpSpPr>
        <a:xfrm>
          <a:off x="1103113" y="2940407"/>
          <a:ext cx="1124864" cy="689124"/>
          <a:chOff x="1103113" y="2970887"/>
          <a:chExt cx="1124864" cy="696744"/>
        </a:xfrm>
      </xdr:grpSpPr>
      <xdr:pic>
        <xdr:nvPicPr>
          <xdr:cNvPr id="33" name="Graphic 32" descr="Bank outline">
            <a:extLst>
              <a:ext uri="{FF2B5EF4-FFF2-40B4-BE49-F238E27FC236}">
                <a16:creationId xmlns:a16="http://schemas.microsoft.com/office/drawing/2014/main" id="{1717878D-3766-0CE5-E5F8-6E2916DDB87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401163" y="2970887"/>
            <a:ext cx="535254" cy="538929"/>
          </a:xfrm>
          <a:prstGeom prst="rect">
            <a:avLst/>
          </a:prstGeom>
          <a:effectLst/>
        </xdr:spPr>
      </xdr:pic>
      <xdr:sp macro="" textlink="#REF!">
        <xdr:nvSpPr>
          <xdr:cNvPr id="34" name="TextBox 33">
            <a:extLst>
              <a:ext uri="{FF2B5EF4-FFF2-40B4-BE49-F238E27FC236}">
                <a16:creationId xmlns:a16="http://schemas.microsoft.com/office/drawing/2014/main" id="{3F15D207-74C9-9BDB-C27D-DFB8E4115912}"/>
              </a:ext>
            </a:extLst>
          </xdr:cNvPr>
          <xdr:cNvSpPr txBox="1"/>
        </xdr:nvSpPr>
        <xdr:spPr>
          <a:xfrm>
            <a:off x="1103113" y="3411300"/>
            <a:ext cx="1124864" cy="256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Monetary</a:t>
            </a:r>
          </a:p>
        </xdr:txBody>
      </xdr:sp>
    </xdr:grpSp>
    <xdr:clientData/>
  </xdr:twoCellAnchor>
  <xdr:twoCellAnchor>
    <xdr:from>
      <xdr:col>1</xdr:col>
      <xdr:colOff>493514</xdr:colOff>
      <xdr:row>20</xdr:row>
      <xdr:rowOff>46105</xdr:rowOff>
    </xdr:from>
    <xdr:to>
      <xdr:col>3</xdr:col>
      <xdr:colOff>399178</xdr:colOff>
      <xdr:row>24</xdr:row>
      <xdr:rowOff>14643</xdr:rowOff>
    </xdr:to>
    <xdr:grpSp>
      <xdr:nvGrpSpPr>
        <xdr:cNvPr id="35" name="Group 34">
          <a:hlinkClick xmlns:r="http://schemas.openxmlformats.org/officeDocument/2006/relationships" r:id="rId12"/>
          <a:extLst>
            <a:ext uri="{FF2B5EF4-FFF2-40B4-BE49-F238E27FC236}">
              <a16:creationId xmlns:a16="http://schemas.microsoft.com/office/drawing/2014/main" id="{7E6C7906-F507-4698-AC3D-C629F16C7D37}"/>
            </a:ext>
          </a:extLst>
        </xdr:cNvPr>
        <xdr:cNvGrpSpPr/>
      </xdr:nvGrpSpPr>
      <xdr:grpSpPr>
        <a:xfrm>
          <a:off x="1103114" y="3665605"/>
          <a:ext cx="1124864" cy="692438"/>
          <a:chOff x="1103114" y="3703705"/>
          <a:chExt cx="1124864" cy="700058"/>
        </a:xfrm>
      </xdr:grpSpPr>
      <xdr:pic>
        <xdr:nvPicPr>
          <xdr:cNvPr id="36" name="Graphic 35" descr="Upward trend with solid fill">
            <a:extLst>
              <a:ext uri="{FF2B5EF4-FFF2-40B4-BE49-F238E27FC236}">
                <a16:creationId xmlns:a16="http://schemas.microsoft.com/office/drawing/2014/main" id="{11676123-059F-6BEE-3457-F8D02DB5D8A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404870" y="3703705"/>
            <a:ext cx="537654" cy="545967"/>
          </a:xfrm>
          <a:prstGeom prst="rect">
            <a:avLst/>
          </a:prstGeom>
          <a:effectLst/>
        </xdr:spPr>
      </xdr:pic>
      <xdr:sp macro="" textlink="#REF!">
        <xdr:nvSpPr>
          <xdr:cNvPr id="37" name="TextBox 36">
            <a:extLst>
              <a:ext uri="{FF2B5EF4-FFF2-40B4-BE49-F238E27FC236}">
                <a16:creationId xmlns:a16="http://schemas.microsoft.com/office/drawing/2014/main" id="{CFBEFF7C-3DE0-D251-7266-518AA14C1732}"/>
              </a:ext>
            </a:extLst>
          </xdr:cNvPr>
          <xdr:cNvSpPr txBox="1"/>
        </xdr:nvSpPr>
        <xdr:spPr>
          <a:xfrm>
            <a:off x="1103114" y="4147432"/>
            <a:ext cx="1124864" cy="256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Inflation</a:t>
            </a:r>
          </a:p>
        </xdr:txBody>
      </xdr:sp>
    </xdr:grpSp>
    <xdr:clientData/>
  </xdr:twoCellAnchor>
  <xdr:twoCellAnchor>
    <xdr:from>
      <xdr:col>1</xdr:col>
      <xdr:colOff>521223</xdr:colOff>
      <xdr:row>24</xdr:row>
      <xdr:rowOff>33423</xdr:rowOff>
    </xdr:from>
    <xdr:to>
      <xdr:col>3</xdr:col>
      <xdr:colOff>426887</xdr:colOff>
      <xdr:row>28</xdr:row>
      <xdr:rowOff>19256</xdr:rowOff>
    </xdr:to>
    <xdr:grpSp>
      <xdr:nvGrpSpPr>
        <xdr:cNvPr id="38" name="Group 37">
          <a:hlinkClick xmlns:r="http://schemas.openxmlformats.org/officeDocument/2006/relationships" r:id="rId15"/>
          <a:extLst>
            <a:ext uri="{FF2B5EF4-FFF2-40B4-BE49-F238E27FC236}">
              <a16:creationId xmlns:a16="http://schemas.microsoft.com/office/drawing/2014/main" id="{FA15CE15-3D1F-45AD-A7C5-191C7197BEAE}"/>
            </a:ext>
          </a:extLst>
        </xdr:cNvPr>
        <xdr:cNvGrpSpPr/>
      </xdr:nvGrpSpPr>
      <xdr:grpSpPr>
        <a:xfrm>
          <a:off x="1130823" y="4376823"/>
          <a:ext cx="1124864" cy="709733"/>
          <a:chOff x="1130823" y="4422543"/>
          <a:chExt cx="1124864" cy="717353"/>
        </a:xfrm>
      </xdr:grpSpPr>
      <xdr:pic>
        <xdr:nvPicPr>
          <xdr:cNvPr id="39" name="Graphic 38" descr="Construction worker male outline">
            <a:extLst>
              <a:ext uri="{FF2B5EF4-FFF2-40B4-BE49-F238E27FC236}">
                <a16:creationId xmlns:a16="http://schemas.microsoft.com/office/drawing/2014/main" id="{21EB853C-FF6A-DB42-AA81-9281CCA2174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423402" y="4422543"/>
            <a:ext cx="540054" cy="548367"/>
          </a:xfrm>
          <a:prstGeom prst="rect">
            <a:avLst/>
          </a:prstGeom>
          <a:effectLst/>
        </xdr:spPr>
      </xdr:pic>
      <xdr:sp macro="" textlink="#REF!">
        <xdr:nvSpPr>
          <xdr:cNvPr id="40" name="TextBox 39">
            <a:extLst>
              <a:ext uri="{FF2B5EF4-FFF2-40B4-BE49-F238E27FC236}">
                <a16:creationId xmlns:a16="http://schemas.microsoft.com/office/drawing/2014/main" id="{44013121-BAF6-7C1B-AB6D-A9D156203CF6}"/>
              </a:ext>
            </a:extLst>
          </xdr:cNvPr>
          <xdr:cNvSpPr txBox="1"/>
        </xdr:nvSpPr>
        <xdr:spPr>
          <a:xfrm>
            <a:off x="1130823" y="4883565"/>
            <a:ext cx="1124864" cy="256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Labour</a:t>
            </a:r>
          </a:p>
        </xdr:txBody>
      </xdr:sp>
    </xdr:grpSp>
    <xdr:clientData/>
  </xdr:twoCellAnchor>
  <xdr:twoCellAnchor>
    <xdr:from>
      <xdr:col>1</xdr:col>
      <xdr:colOff>514296</xdr:colOff>
      <xdr:row>28</xdr:row>
      <xdr:rowOff>41325</xdr:rowOff>
    </xdr:from>
    <xdr:to>
      <xdr:col>3</xdr:col>
      <xdr:colOff>419960</xdr:colOff>
      <xdr:row>32</xdr:row>
      <xdr:rowOff>23868</xdr:rowOff>
    </xdr:to>
    <xdr:grpSp>
      <xdr:nvGrpSpPr>
        <xdr:cNvPr id="41" name="Group 40">
          <a:hlinkClick xmlns:r="http://schemas.openxmlformats.org/officeDocument/2006/relationships" r:id="rId18"/>
          <a:extLst>
            <a:ext uri="{FF2B5EF4-FFF2-40B4-BE49-F238E27FC236}">
              <a16:creationId xmlns:a16="http://schemas.microsoft.com/office/drawing/2014/main" id="{22E77D06-85B4-4231-9DCC-E1BB07E1008A}"/>
            </a:ext>
          </a:extLst>
        </xdr:cNvPr>
        <xdr:cNvGrpSpPr/>
      </xdr:nvGrpSpPr>
      <xdr:grpSpPr>
        <a:xfrm>
          <a:off x="1123896" y="5108625"/>
          <a:ext cx="1124864" cy="706443"/>
          <a:chOff x="1123896" y="5161965"/>
          <a:chExt cx="1124864" cy="714063"/>
        </a:xfrm>
      </xdr:grpSpPr>
      <xdr:pic>
        <xdr:nvPicPr>
          <xdr:cNvPr id="42" name="Graphic 41" descr="Miscellaneous outline">
            <a:extLst>
              <a:ext uri="{FF2B5EF4-FFF2-40B4-BE49-F238E27FC236}">
                <a16:creationId xmlns:a16="http://schemas.microsoft.com/office/drawing/2014/main" id="{2A27F5D1-970C-7519-A9C6-E8BF3C08C856}"/>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391164" y="5161965"/>
            <a:ext cx="616527" cy="624839"/>
          </a:xfrm>
          <a:prstGeom prst="rect">
            <a:avLst/>
          </a:prstGeom>
          <a:effectLst>
            <a:glow rad="101600">
              <a:srgbClr val="0575F1">
                <a:alpha val="40000"/>
              </a:srgbClr>
            </a:glow>
          </a:effectLst>
        </xdr:spPr>
      </xdr:pic>
      <xdr:sp macro="" textlink="#REF!">
        <xdr:nvSpPr>
          <xdr:cNvPr id="43" name="TextBox 42">
            <a:extLst>
              <a:ext uri="{FF2B5EF4-FFF2-40B4-BE49-F238E27FC236}">
                <a16:creationId xmlns:a16="http://schemas.microsoft.com/office/drawing/2014/main" id="{A3D1396E-4BDD-258F-F02E-1977C1C5B495}"/>
              </a:ext>
            </a:extLst>
          </xdr:cNvPr>
          <xdr:cNvSpPr txBox="1"/>
        </xdr:nvSpPr>
        <xdr:spPr>
          <a:xfrm>
            <a:off x="1123896" y="5619697"/>
            <a:ext cx="1124864" cy="256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chemeClr val="bg1"/>
                </a:solidFill>
                <a:latin typeface="Aptos Narrow"/>
                <a:ea typeface="+mn-ea"/>
                <a:cs typeface="+mn-cs"/>
              </a:rPr>
              <a:t>External</a:t>
            </a:r>
          </a:p>
        </xdr:txBody>
      </xdr:sp>
    </xdr:grpSp>
    <xdr:clientData/>
  </xdr:twoCellAnchor>
  <xdr:twoCellAnchor>
    <xdr:from>
      <xdr:col>1</xdr:col>
      <xdr:colOff>521224</xdr:colOff>
      <xdr:row>31</xdr:row>
      <xdr:rowOff>149881</xdr:rowOff>
    </xdr:from>
    <xdr:to>
      <xdr:col>3</xdr:col>
      <xdr:colOff>426888</xdr:colOff>
      <xdr:row>36</xdr:row>
      <xdr:rowOff>28481</xdr:rowOff>
    </xdr:to>
    <xdr:grpSp>
      <xdr:nvGrpSpPr>
        <xdr:cNvPr id="44" name="Group 43">
          <a:hlinkClick xmlns:r="http://schemas.openxmlformats.org/officeDocument/2006/relationships" r:id="rId21"/>
          <a:extLst>
            <a:ext uri="{FF2B5EF4-FFF2-40B4-BE49-F238E27FC236}">
              <a16:creationId xmlns:a16="http://schemas.microsoft.com/office/drawing/2014/main" id="{DE0CAC70-9D96-477D-8292-8960AAF7225C}"/>
            </a:ext>
          </a:extLst>
        </xdr:cNvPr>
        <xdr:cNvGrpSpPr/>
      </xdr:nvGrpSpPr>
      <xdr:grpSpPr>
        <a:xfrm>
          <a:off x="1130824" y="5760106"/>
          <a:ext cx="1124864" cy="783475"/>
          <a:chOff x="1130824" y="5819161"/>
          <a:chExt cx="1124864" cy="793000"/>
        </a:xfrm>
      </xdr:grpSpPr>
      <xdr:pic>
        <xdr:nvPicPr>
          <xdr:cNvPr id="45" name="Graphic 44" descr="Scales of justice outline">
            <a:extLst>
              <a:ext uri="{FF2B5EF4-FFF2-40B4-BE49-F238E27FC236}">
                <a16:creationId xmlns:a16="http://schemas.microsoft.com/office/drawing/2014/main" id="{58E23A9F-C9B5-C6BB-956D-1308E6D41179}"/>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410764" y="5819161"/>
            <a:ext cx="586418" cy="598317"/>
          </a:xfrm>
          <a:prstGeom prst="rect">
            <a:avLst/>
          </a:prstGeom>
        </xdr:spPr>
      </xdr:pic>
      <xdr:sp macro="" textlink="#REF!">
        <xdr:nvSpPr>
          <xdr:cNvPr id="46" name="TextBox 45">
            <a:extLst>
              <a:ext uri="{FF2B5EF4-FFF2-40B4-BE49-F238E27FC236}">
                <a16:creationId xmlns:a16="http://schemas.microsoft.com/office/drawing/2014/main" id="{162469E1-9D34-5FBA-C9CF-8022220A4CC5}"/>
              </a:ext>
            </a:extLst>
          </xdr:cNvPr>
          <xdr:cNvSpPr txBox="1"/>
        </xdr:nvSpPr>
        <xdr:spPr>
          <a:xfrm>
            <a:off x="1130824" y="6355830"/>
            <a:ext cx="1124864" cy="256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Fiscal</a:t>
            </a:r>
          </a:p>
        </xdr:txBody>
      </xdr:sp>
    </xdr:grpSp>
    <xdr:clientData/>
  </xdr:twoCellAnchor>
  <xdr:twoCellAnchor>
    <xdr:from>
      <xdr:col>1</xdr:col>
      <xdr:colOff>521224</xdr:colOff>
      <xdr:row>36</xdr:row>
      <xdr:rowOff>57807</xdr:rowOff>
    </xdr:from>
    <xdr:to>
      <xdr:col>3</xdr:col>
      <xdr:colOff>426888</xdr:colOff>
      <xdr:row>40</xdr:row>
      <xdr:rowOff>29510</xdr:rowOff>
    </xdr:to>
    <xdr:grpSp>
      <xdr:nvGrpSpPr>
        <xdr:cNvPr id="47" name="Group 46">
          <a:hlinkClick xmlns:r="http://schemas.openxmlformats.org/officeDocument/2006/relationships" r:id="rId24"/>
          <a:extLst>
            <a:ext uri="{FF2B5EF4-FFF2-40B4-BE49-F238E27FC236}">
              <a16:creationId xmlns:a16="http://schemas.microsoft.com/office/drawing/2014/main" id="{2C928D7A-51C0-4834-9C2A-FF1249037446}"/>
            </a:ext>
          </a:extLst>
        </xdr:cNvPr>
        <xdr:cNvGrpSpPr/>
      </xdr:nvGrpSpPr>
      <xdr:grpSpPr>
        <a:xfrm>
          <a:off x="1130824" y="6572907"/>
          <a:ext cx="1124864" cy="695603"/>
          <a:chOff x="1130824" y="6641487"/>
          <a:chExt cx="1124864" cy="703223"/>
        </a:xfrm>
      </xdr:grpSpPr>
      <xdr:pic>
        <xdr:nvPicPr>
          <xdr:cNvPr id="48" name="Graphic 47" descr="Closed book outline">
            <a:extLst>
              <a:ext uri="{FF2B5EF4-FFF2-40B4-BE49-F238E27FC236}">
                <a16:creationId xmlns:a16="http://schemas.microsoft.com/office/drawing/2014/main" id="{15FBA320-CF98-DAB0-629E-C17935AF21F0}"/>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1417845" y="6641487"/>
            <a:ext cx="508802" cy="516057"/>
          </a:xfrm>
          <a:prstGeom prst="rect">
            <a:avLst/>
          </a:prstGeom>
        </xdr:spPr>
      </xdr:pic>
      <xdr:sp macro="" textlink="#REF!">
        <xdr:nvSpPr>
          <xdr:cNvPr id="49" name="TextBox 48">
            <a:extLst>
              <a:ext uri="{FF2B5EF4-FFF2-40B4-BE49-F238E27FC236}">
                <a16:creationId xmlns:a16="http://schemas.microsoft.com/office/drawing/2014/main" id="{83180766-04E3-7899-DF92-FF063930565C}"/>
              </a:ext>
            </a:extLst>
          </xdr:cNvPr>
          <xdr:cNvSpPr txBox="1"/>
        </xdr:nvSpPr>
        <xdr:spPr>
          <a:xfrm>
            <a:off x="1130824" y="7091965"/>
            <a:ext cx="1124864" cy="252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Summary</a:t>
            </a:r>
          </a:p>
        </xdr:txBody>
      </xdr:sp>
    </xdr:grpSp>
    <xdr:clientData/>
  </xdr:twoCellAnchor>
  <xdr:twoCellAnchor>
    <xdr:from>
      <xdr:col>13</xdr:col>
      <xdr:colOff>441832</xdr:colOff>
      <xdr:row>13</xdr:row>
      <xdr:rowOff>24406</xdr:rowOff>
    </xdr:from>
    <xdr:to>
      <xdr:col>22</xdr:col>
      <xdr:colOff>224118</xdr:colOff>
      <xdr:row>30</xdr:row>
      <xdr:rowOff>142875</xdr:rowOff>
    </xdr:to>
    <xdr:sp macro="" textlink="">
      <xdr:nvSpPr>
        <xdr:cNvPr id="51" name="Rectangle: Rounded Corners 50">
          <a:extLst>
            <a:ext uri="{FF2B5EF4-FFF2-40B4-BE49-F238E27FC236}">
              <a16:creationId xmlns:a16="http://schemas.microsoft.com/office/drawing/2014/main" id="{390FE040-B143-8647-A4FC-51D022E8D1D5}"/>
            </a:ext>
          </a:extLst>
        </xdr:cNvPr>
        <xdr:cNvSpPr/>
      </xdr:nvSpPr>
      <xdr:spPr>
        <a:xfrm>
          <a:off x="8366632" y="2377081"/>
          <a:ext cx="5268686" cy="3195044"/>
        </a:xfrm>
        <a:prstGeom prst="roundRect">
          <a:avLst>
            <a:gd name="adj" fmla="val 7394"/>
          </a:avLst>
        </a:prstGeom>
        <a:gradFill>
          <a:gsLst>
            <a:gs pos="0">
              <a:srgbClr val="323687"/>
            </a:gs>
            <a:gs pos="88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editAs="oneCell">
    <xdr:from>
      <xdr:col>4</xdr:col>
      <xdr:colOff>233079</xdr:colOff>
      <xdr:row>4</xdr:row>
      <xdr:rowOff>144781</xdr:rowOff>
    </xdr:from>
    <xdr:to>
      <xdr:col>22</xdr:col>
      <xdr:colOff>17928</xdr:colOff>
      <xdr:row>11</xdr:row>
      <xdr:rowOff>17929</xdr:rowOff>
    </xdr:to>
    <mc:AlternateContent xmlns:mc="http://schemas.openxmlformats.org/markup-compatibility/2006" xmlns:a14="http://schemas.microsoft.com/office/drawing/2010/main">
      <mc:Choice Requires="a14">
        <xdr:graphicFrame macro="">
          <xdr:nvGraphicFramePr>
            <xdr:cNvPr id="55" name="Year 5">
              <a:extLst>
                <a:ext uri="{FF2B5EF4-FFF2-40B4-BE49-F238E27FC236}">
                  <a16:creationId xmlns:a16="http://schemas.microsoft.com/office/drawing/2014/main" id="{C1DCD0B5-12B4-4ECD-852F-F42242E019B6}"/>
                </a:ext>
              </a:extLst>
            </xdr:cNvPr>
            <xdr:cNvGraphicFramePr/>
          </xdr:nvGraphicFramePr>
          <xdr:xfrm>
            <a:off x="0" y="0"/>
            <a:ext cx="0" cy="0"/>
          </xdr:xfrm>
          <a:graphic>
            <a:graphicData uri="http://schemas.microsoft.com/office/drawing/2010/slicer">
              <sle:slicer xmlns:sle="http://schemas.microsoft.com/office/drawing/2010/slicer" name="Year 5"/>
            </a:graphicData>
          </a:graphic>
        </xdr:graphicFrame>
      </mc:Choice>
      <mc:Fallback xmlns="">
        <xdr:sp macro="" textlink="">
          <xdr:nvSpPr>
            <xdr:cNvPr id="0" name=""/>
            <xdr:cNvSpPr>
              <a:spLocks noTextEdit="1"/>
            </xdr:cNvSpPr>
          </xdr:nvSpPr>
          <xdr:spPr>
            <a:xfrm>
              <a:off x="2671479" y="868681"/>
              <a:ext cx="10757649" cy="11399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190501</xdr:colOff>
      <xdr:row>13</xdr:row>
      <xdr:rowOff>114300</xdr:rowOff>
    </xdr:from>
    <xdr:to>
      <xdr:col>13</xdr:col>
      <xdr:colOff>200025</xdr:colOff>
      <xdr:row>30</xdr:row>
      <xdr:rowOff>76200</xdr:rowOff>
    </xdr:to>
    <xdr:graphicFrame macro="">
      <xdr:nvGraphicFramePr>
        <xdr:cNvPr id="68" name="Chart 67">
          <a:extLst>
            <a:ext uri="{FF2B5EF4-FFF2-40B4-BE49-F238E27FC236}">
              <a16:creationId xmlns:a16="http://schemas.microsoft.com/office/drawing/2014/main" id="{D9DB1190-91F7-43BB-82F7-FE4BC956D5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13</xdr:col>
      <xdr:colOff>581024</xdr:colOff>
      <xdr:row>13</xdr:row>
      <xdr:rowOff>104775</xdr:rowOff>
    </xdr:from>
    <xdr:to>
      <xdr:col>22</xdr:col>
      <xdr:colOff>133349</xdr:colOff>
      <xdr:row>30</xdr:row>
      <xdr:rowOff>38100</xdr:rowOff>
    </xdr:to>
    <xdr:graphicFrame macro="">
      <xdr:nvGraphicFramePr>
        <xdr:cNvPr id="69" name="Chart 68">
          <a:extLst>
            <a:ext uri="{FF2B5EF4-FFF2-40B4-BE49-F238E27FC236}">
              <a16:creationId xmlns:a16="http://schemas.microsoft.com/office/drawing/2014/main" id="{FA655BE7-C86A-4E4C-8694-9F3EA9D7CE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4</xdr:col>
      <xdr:colOff>113143</xdr:colOff>
      <xdr:row>31</xdr:row>
      <xdr:rowOff>123825</xdr:rowOff>
    </xdr:from>
    <xdr:to>
      <xdr:col>17</xdr:col>
      <xdr:colOff>342901</xdr:colOff>
      <xdr:row>42</xdr:row>
      <xdr:rowOff>133350</xdr:rowOff>
    </xdr:to>
    <xdr:sp macro="" textlink="">
      <xdr:nvSpPr>
        <xdr:cNvPr id="70" name="Rectangle: Rounded Corners 69">
          <a:extLst>
            <a:ext uri="{FF2B5EF4-FFF2-40B4-BE49-F238E27FC236}">
              <a16:creationId xmlns:a16="http://schemas.microsoft.com/office/drawing/2014/main" id="{2ED6AF28-545E-6AF7-7EA1-35C5661A75DC}"/>
            </a:ext>
          </a:extLst>
        </xdr:cNvPr>
        <xdr:cNvSpPr/>
      </xdr:nvSpPr>
      <xdr:spPr>
        <a:xfrm>
          <a:off x="2551543" y="5734050"/>
          <a:ext cx="8154558" cy="2000250"/>
        </a:xfrm>
        <a:prstGeom prst="roundRect">
          <a:avLst>
            <a:gd name="adj" fmla="val 7935"/>
          </a:avLst>
        </a:prstGeom>
        <a:gradFill>
          <a:gsLst>
            <a:gs pos="0">
              <a:srgbClr val="323687"/>
            </a:gs>
            <a:gs pos="75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160766</xdr:colOff>
      <xdr:row>31</xdr:row>
      <xdr:rowOff>171449</xdr:rowOff>
    </xdr:from>
    <xdr:to>
      <xdr:col>17</xdr:col>
      <xdr:colOff>342900</xdr:colOff>
      <xdr:row>42</xdr:row>
      <xdr:rowOff>114300</xdr:rowOff>
    </xdr:to>
    <xdr:graphicFrame macro="">
      <xdr:nvGraphicFramePr>
        <xdr:cNvPr id="71" name="Chart 70">
          <a:extLst>
            <a:ext uri="{FF2B5EF4-FFF2-40B4-BE49-F238E27FC236}">
              <a16:creationId xmlns:a16="http://schemas.microsoft.com/office/drawing/2014/main" id="{0314B4B6-9F7A-4D4E-8024-861BF4A39D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17</xdr:col>
      <xdr:colOff>476250</xdr:colOff>
      <xdr:row>31</xdr:row>
      <xdr:rowOff>104774</xdr:rowOff>
    </xdr:from>
    <xdr:to>
      <xdr:col>22</xdr:col>
      <xdr:colOff>238126</xdr:colOff>
      <xdr:row>42</xdr:row>
      <xdr:rowOff>161924</xdr:rowOff>
    </xdr:to>
    <xdr:sp macro="" textlink="">
      <xdr:nvSpPr>
        <xdr:cNvPr id="72" name="Rectangle: Rounded Corners 71">
          <a:extLst>
            <a:ext uri="{FF2B5EF4-FFF2-40B4-BE49-F238E27FC236}">
              <a16:creationId xmlns:a16="http://schemas.microsoft.com/office/drawing/2014/main" id="{1A21EE16-768F-7688-F567-3A64C2C76C8D}"/>
            </a:ext>
          </a:extLst>
        </xdr:cNvPr>
        <xdr:cNvSpPr/>
      </xdr:nvSpPr>
      <xdr:spPr>
        <a:xfrm>
          <a:off x="10839450" y="5714999"/>
          <a:ext cx="2809876" cy="2047875"/>
        </a:xfrm>
        <a:prstGeom prst="roundRect">
          <a:avLst>
            <a:gd name="adj" fmla="val 7394"/>
          </a:avLst>
        </a:prstGeom>
        <a:gradFill>
          <a:gsLst>
            <a:gs pos="0">
              <a:srgbClr val="323687"/>
            </a:gs>
            <a:gs pos="88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18</xdr:col>
      <xdr:colOff>85725</xdr:colOff>
      <xdr:row>32</xdr:row>
      <xdr:rowOff>76199</xdr:rowOff>
    </xdr:from>
    <xdr:to>
      <xdr:col>22</xdr:col>
      <xdr:colOff>57150</xdr:colOff>
      <xdr:row>36</xdr:row>
      <xdr:rowOff>28574</xdr:rowOff>
    </xdr:to>
    <xdr:sp macro="" textlink="">
      <xdr:nvSpPr>
        <xdr:cNvPr id="73" name="TextBox 72">
          <a:extLst>
            <a:ext uri="{FF2B5EF4-FFF2-40B4-BE49-F238E27FC236}">
              <a16:creationId xmlns:a16="http://schemas.microsoft.com/office/drawing/2014/main" id="{E64B46DA-90F3-80AA-4209-5855307DCA2D}"/>
            </a:ext>
          </a:extLst>
        </xdr:cNvPr>
        <xdr:cNvSpPr txBox="1"/>
      </xdr:nvSpPr>
      <xdr:spPr>
        <a:xfrm>
          <a:off x="11058525" y="5867399"/>
          <a:ext cx="2409825" cy="676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chemeClr val="bg1"/>
              </a:solidFill>
            </a:rPr>
            <a:t>FDI</a:t>
          </a:r>
        </a:p>
      </xdr:txBody>
    </xdr:sp>
    <xdr:clientData/>
  </xdr:twoCellAnchor>
  <xdr:twoCellAnchor>
    <xdr:from>
      <xdr:col>18</xdr:col>
      <xdr:colOff>85725</xdr:colOff>
      <xdr:row>36</xdr:row>
      <xdr:rowOff>104775</xdr:rowOff>
    </xdr:from>
    <xdr:to>
      <xdr:col>22</xdr:col>
      <xdr:colOff>57150</xdr:colOff>
      <xdr:row>41</xdr:row>
      <xdr:rowOff>142875</xdr:rowOff>
    </xdr:to>
    <xdr:sp macro="" textlink="Processing!BQ2">
      <xdr:nvSpPr>
        <xdr:cNvPr id="74" name="TextBox 73">
          <a:extLst>
            <a:ext uri="{FF2B5EF4-FFF2-40B4-BE49-F238E27FC236}">
              <a16:creationId xmlns:a16="http://schemas.microsoft.com/office/drawing/2014/main" id="{2572D041-3207-40B9-AD7A-F62E224CA842}"/>
            </a:ext>
          </a:extLst>
        </xdr:cNvPr>
        <xdr:cNvSpPr txBox="1"/>
      </xdr:nvSpPr>
      <xdr:spPr>
        <a:xfrm>
          <a:off x="11058525" y="6619875"/>
          <a:ext cx="2409825" cy="942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24C131-21A6-4526-B250-BE8556951BAB}" type="TxLink">
            <a:rPr lang="en-US" sz="6600" b="0" i="0" u="none" strike="noStrike">
              <a:solidFill>
                <a:srgbClr val="00B050"/>
              </a:solidFill>
              <a:latin typeface="Aptos Narrow"/>
            </a:rPr>
            <a:t>4.97</a:t>
          </a:fld>
          <a:endParaRPr lang="en-US" sz="333300" b="0">
            <a:solidFill>
              <a:srgbClr val="00B050"/>
            </a:solidFill>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464820</xdr:colOff>
      <xdr:row>1</xdr:row>
      <xdr:rowOff>83820</xdr:rowOff>
    </xdr:from>
    <xdr:to>
      <xdr:col>1</xdr:col>
      <xdr:colOff>495300</xdr:colOff>
      <xdr:row>3</xdr:row>
      <xdr:rowOff>53340</xdr:rowOff>
    </xdr:to>
    <xdr:sp macro="" textlink="">
      <xdr:nvSpPr>
        <xdr:cNvPr id="2" name="Rectangle 1">
          <a:extLst>
            <a:ext uri="{FF2B5EF4-FFF2-40B4-BE49-F238E27FC236}">
              <a16:creationId xmlns:a16="http://schemas.microsoft.com/office/drawing/2014/main" id="{13A78A6E-6872-4223-8043-CBAB88847232}"/>
            </a:ext>
          </a:extLst>
        </xdr:cNvPr>
        <xdr:cNvSpPr/>
      </xdr:nvSpPr>
      <xdr:spPr>
        <a:xfrm>
          <a:off x="464820" y="266700"/>
          <a:ext cx="640080" cy="335280"/>
        </a:xfrm>
        <a:prstGeom prst="rect">
          <a:avLst/>
        </a:prstGeom>
        <a:solidFill>
          <a:srgbClr val="1214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392238</xdr:colOff>
      <xdr:row>0</xdr:row>
      <xdr:rowOff>167640</xdr:rowOff>
    </xdr:from>
    <xdr:to>
      <xdr:col>23</xdr:col>
      <xdr:colOff>156018</xdr:colOff>
      <xdr:row>45</xdr:row>
      <xdr:rowOff>53340</xdr:rowOff>
    </xdr:to>
    <xdr:sp macro="" textlink="">
      <xdr:nvSpPr>
        <xdr:cNvPr id="3" name="Rectangle: Rounded Corners 2">
          <a:extLst>
            <a:ext uri="{FF2B5EF4-FFF2-40B4-BE49-F238E27FC236}">
              <a16:creationId xmlns:a16="http://schemas.microsoft.com/office/drawing/2014/main" id="{7DA12AAA-420C-49DA-8B71-020E3A812C4D}"/>
            </a:ext>
          </a:extLst>
        </xdr:cNvPr>
        <xdr:cNvSpPr/>
      </xdr:nvSpPr>
      <xdr:spPr>
        <a:xfrm>
          <a:off x="392238" y="167640"/>
          <a:ext cx="13784580" cy="8115300"/>
        </a:xfrm>
        <a:prstGeom prst="roundRect">
          <a:avLst>
            <a:gd name="adj" fmla="val 6581"/>
          </a:avLst>
        </a:prstGeom>
        <a:gradFill flip="none" rotWithShape="1">
          <a:gsLst>
            <a:gs pos="0">
              <a:srgbClr val="1F2357"/>
            </a:gs>
            <a:gs pos="75000">
              <a:srgbClr val="10123B"/>
            </a:gs>
          </a:gsLst>
          <a:lin ang="8100000" scaled="1"/>
          <a:tileRect/>
        </a:gradFill>
        <a:ln w="9525">
          <a:gradFill flip="none" rotWithShape="1">
            <a:gsLst>
              <a:gs pos="0">
                <a:srgbClr val="4647A6"/>
              </a:gs>
              <a:gs pos="100000">
                <a:srgbClr val="333787"/>
              </a:gs>
            </a:gsLst>
            <a:lin ang="8100000" scaled="1"/>
            <a:tileRect/>
          </a:grad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ru-RU"/>
            <a:t> </a:t>
          </a:r>
        </a:p>
      </xdr:txBody>
    </xdr:sp>
    <xdr:clientData/>
  </xdr:twoCellAnchor>
  <xdr:twoCellAnchor>
    <xdr:from>
      <xdr:col>1</xdr:col>
      <xdr:colOff>116097</xdr:colOff>
      <xdr:row>2</xdr:row>
      <xdr:rowOff>100664</xdr:rowOff>
    </xdr:from>
    <xdr:to>
      <xdr:col>22</xdr:col>
      <xdr:colOff>458997</xdr:colOff>
      <xdr:row>43</xdr:row>
      <xdr:rowOff>99059</xdr:rowOff>
    </xdr:to>
    <xdr:sp macro="" textlink="">
      <xdr:nvSpPr>
        <xdr:cNvPr id="4" name="Rectangle: Rounded Corners 3">
          <a:extLst>
            <a:ext uri="{FF2B5EF4-FFF2-40B4-BE49-F238E27FC236}">
              <a16:creationId xmlns:a16="http://schemas.microsoft.com/office/drawing/2014/main" id="{CF1DDC9C-4A1A-4113-B49E-9549E2C1E686}"/>
            </a:ext>
          </a:extLst>
        </xdr:cNvPr>
        <xdr:cNvSpPr/>
      </xdr:nvSpPr>
      <xdr:spPr>
        <a:xfrm>
          <a:off x="725697" y="466424"/>
          <a:ext cx="13144500" cy="7496475"/>
        </a:xfrm>
        <a:prstGeom prst="roundRect">
          <a:avLst>
            <a:gd name="adj" fmla="val 5042"/>
          </a:avLst>
        </a:prstGeom>
        <a:gradFill flip="none" rotWithShape="1">
          <a:gsLst>
            <a:gs pos="0">
              <a:srgbClr val="20245A"/>
            </a:gs>
            <a:gs pos="75000">
              <a:srgbClr val="10123B"/>
            </a:gs>
          </a:gsLst>
          <a:lin ang="8100000" scaled="1"/>
          <a:tileRect/>
        </a:gradFill>
        <a:ln w="9525">
          <a:gradFill flip="none" rotWithShape="1">
            <a:gsLst>
              <a:gs pos="0">
                <a:srgbClr val="B9C1FF"/>
              </a:gs>
              <a:gs pos="33000">
                <a:srgbClr val="3D4098"/>
              </a:gs>
              <a:gs pos="100000">
                <a:srgbClr val="333787"/>
              </a:gs>
            </a:gsLst>
            <a:lin ang="9000000" scaled="0"/>
            <a:tileRect/>
          </a:gradFill>
        </a:ln>
        <a:effectLst>
          <a:outerShdw blurRad="2540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99060</xdr:colOff>
      <xdr:row>4</xdr:row>
      <xdr:rowOff>23019</xdr:rowOff>
    </xdr:from>
    <xdr:to>
      <xdr:col>22</xdr:col>
      <xdr:colOff>183490</xdr:colOff>
      <xdr:row>11</xdr:row>
      <xdr:rowOff>125506</xdr:rowOff>
    </xdr:to>
    <xdr:sp macro="" textlink="">
      <xdr:nvSpPr>
        <xdr:cNvPr id="5" name="Rectangle: Rounded Corners 4">
          <a:extLst>
            <a:ext uri="{FF2B5EF4-FFF2-40B4-BE49-F238E27FC236}">
              <a16:creationId xmlns:a16="http://schemas.microsoft.com/office/drawing/2014/main" id="{662F0E8F-166C-47D5-AADB-E88304FFF77D}"/>
            </a:ext>
          </a:extLst>
        </xdr:cNvPr>
        <xdr:cNvSpPr/>
      </xdr:nvSpPr>
      <xdr:spPr>
        <a:xfrm>
          <a:off x="2537460" y="754539"/>
          <a:ext cx="11057230" cy="1382647"/>
        </a:xfrm>
        <a:prstGeom prst="roundRect">
          <a:avLst>
            <a:gd name="adj" fmla="val 14979"/>
          </a:avLst>
        </a:prstGeom>
        <a:gradFill>
          <a:gsLst>
            <a:gs pos="97000">
              <a:srgbClr val="2C3076"/>
            </a:gs>
            <a:gs pos="5000">
              <a:srgbClr val="2C3076"/>
            </a:gs>
            <a:gs pos="0">
              <a:srgbClr val="323687"/>
            </a:gs>
            <a:gs pos="100000">
              <a:srgbClr val="22255C"/>
            </a:gs>
          </a:gsLst>
          <a:lin ang="108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132193</xdr:colOff>
      <xdr:row>13</xdr:row>
      <xdr:rowOff>22087</xdr:rowOff>
    </xdr:from>
    <xdr:to>
      <xdr:col>22</xdr:col>
      <xdr:colOff>180975</xdr:colOff>
      <xdr:row>32</xdr:row>
      <xdr:rowOff>104775</xdr:rowOff>
    </xdr:to>
    <xdr:sp macro="" textlink="">
      <xdr:nvSpPr>
        <xdr:cNvPr id="6" name="Rectangle: Rounded Corners 5">
          <a:extLst>
            <a:ext uri="{FF2B5EF4-FFF2-40B4-BE49-F238E27FC236}">
              <a16:creationId xmlns:a16="http://schemas.microsoft.com/office/drawing/2014/main" id="{AE3A534F-6D2A-45DF-AE04-D4077EA44E8D}"/>
            </a:ext>
          </a:extLst>
        </xdr:cNvPr>
        <xdr:cNvSpPr/>
      </xdr:nvSpPr>
      <xdr:spPr>
        <a:xfrm>
          <a:off x="2570593" y="2374762"/>
          <a:ext cx="11021582" cy="3521213"/>
        </a:xfrm>
        <a:prstGeom prst="roundRect">
          <a:avLst>
            <a:gd name="adj" fmla="val 5744"/>
          </a:avLst>
        </a:prstGeom>
        <a:gradFill>
          <a:gsLst>
            <a:gs pos="0">
              <a:srgbClr val="323687"/>
            </a:gs>
            <a:gs pos="75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435597</xdr:colOff>
      <xdr:row>7</xdr:row>
      <xdr:rowOff>161730</xdr:rowOff>
    </xdr:from>
    <xdr:to>
      <xdr:col>3</xdr:col>
      <xdr:colOff>498058</xdr:colOff>
      <xdr:row>42</xdr:row>
      <xdr:rowOff>38100</xdr:rowOff>
    </xdr:to>
    <xdr:sp macro="" textlink="">
      <xdr:nvSpPr>
        <xdr:cNvPr id="9" name="Rectangle: Rounded Corners 8">
          <a:extLst>
            <a:ext uri="{FF2B5EF4-FFF2-40B4-BE49-F238E27FC236}">
              <a16:creationId xmlns:a16="http://schemas.microsoft.com/office/drawing/2014/main" id="{44BC1C65-3194-4F51-BB7C-FB68C2739444}"/>
            </a:ext>
          </a:extLst>
        </xdr:cNvPr>
        <xdr:cNvSpPr/>
      </xdr:nvSpPr>
      <xdr:spPr>
        <a:xfrm>
          <a:off x="1045197" y="1441890"/>
          <a:ext cx="1281661" cy="6277170"/>
        </a:xfrm>
        <a:prstGeom prst="roundRect">
          <a:avLst>
            <a:gd name="adj" fmla="val 18817"/>
          </a:avLst>
        </a:prstGeom>
        <a:gradFill>
          <a:gsLst>
            <a:gs pos="0">
              <a:srgbClr val="2E317C"/>
            </a:gs>
            <a:gs pos="23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500140</xdr:colOff>
      <xdr:row>8</xdr:row>
      <xdr:rowOff>90747</xdr:rowOff>
    </xdr:from>
    <xdr:to>
      <xdr:col>3</xdr:col>
      <xdr:colOff>405804</xdr:colOff>
      <xdr:row>12</xdr:row>
      <xdr:rowOff>1621</xdr:rowOff>
    </xdr:to>
    <xdr:grpSp>
      <xdr:nvGrpSpPr>
        <xdr:cNvPr id="10" name="Group 9">
          <a:hlinkClick xmlns:r="http://schemas.openxmlformats.org/officeDocument/2006/relationships" r:id="rId1"/>
          <a:extLst>
            <a:ext uri="{FF2B5EF4-FFF2-40B4-BE49-F238E27FC236}">
              <a16:creationId xmlns:a16="http://schemas.microsoft.com/office/drawing/2014/main" id="{6B3A0752-47DA-40AC-BFC7-6E8D283003E9}"/>
            </a:ext>
          </a:extLst>
        </xdr:cNvPr>
        <xdr:cNvGrpSpPr/>
      </xdr:nvGrpSpPr>
      <xdr:grpSpPr>
        <a:xfrm>
          <a:off x="1109740" y="1538547"/>
          <a:ext cx="1124864" cy="634774"/>
          <a:chOff x="1109740" y="1553787"/>
          <a:chExt cx="1124864" cy="642394"/>
        </a:xfrm>
      </xdr:grpSpPr>
      <xdr:pic>
        <xdr:nvPicPr>
          <xdr:cNvPr id="11" name="Graphic 10" descr="Home with solid fill">
            <a:extLst>
              <a:ext uri="{FF2B5EF4-FFF2-40B4-BE49-F238E27FC236}">
                <a16:creationId xmlns:a16="http://schemas.microsoft.com/office/drawing/2014/main" id="{6F35B2A3-48E1-6381-D740-B3521FF4589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56113" y="1553787"/>
            <a:ext cx="426720" cy="426720"/>
          </a:xfrm>
          <a:prstGeom prst="rect">
            <a:avLst/>
          </a:prstGeom>
          <a:effectLst/>
        </xdr:spPr>
      </xdr:pic>
      <xdr:sp macro="" textlink="#REF!">
        <xdr:nvSpPr>
          <xdr:cNvPr id="12" name="TextBox 11">
            <a:extLst>
              <a:ext uri="{FF2B5EF4-FFF2-40B4-BE49-F238E27FC236}">
                <a16:creationId xmlns:a16="http://schemas.microsoft.com/office/drawing/2014/main" id="{30C31CAE-B4CC-B6FF-88E0-0290419C9519}"/>
              </a:ext>
            </a:extLst>
          </xdr:cNvPr>
          <xdr:cNvSpPr txBox="1"/>
        </xdr:nvSpPr>
        <xdr:spPr>
          <a:xfrm>
            <a:off x="1109740" y="1935244"/>
            <a:ext cx="1124864" cy="260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3D42D12-6D1C-4BD6-BF7A-FB3615575702}" type="TxLink">
              <a:rPr lang="en-US" sz="1400" b="0" i="0" u="none" strike="noStrike">
                <a:solidFill>
                  <a:srgbClr val="6372A4"/>
                </a:solidFill>
                <a:latin typeface="Aptos Narrow"/>
                <a:ea typeface="+mn-ea"/>
                <a:cs typeface="+mn-cs"/>
              </a:rPr>
              <a:pPr marL="0" indent="0" algn="ctr"/>
              <a:t>Dashboard</a:t>
            </a:fld>
            <a:endParaRPr lang="ru-RU" sz="1400" b="0" i="0" u="none" strike="noStrike">
              <a:solidFill>
                <a:srgbClr val="6372A4"/>
              </a:solidFill>
              <a:latin typeface="Aptos Narrow"/>
              <a:ea typeface="+mn-ea"/>
              <a:cs typeface="+mn-cs"/>
            </a:endParaRPr>
          </a:p>
        </xdr:txBody>
      </xdr:sp>
    </xdr:grpSp>
    <xdr:clientData/>
  </xdr:twoCellAnchor>
  <xdr:twoCellAnchor>
    <xdr:from>
      <xdr:col>14</xdr:col>
      <xdr:colOff>604780</xdr:colOff>
      <xdr:row>13</xdr:row>
      <xdr:rowOff>7620</xdr:rowOff>
    </xdr:from>
    <xdr:to>
      <xdr:col>16</xdr:col>
      <xdr:colOff>363532</xdr:colOff>
      <xdr:row>14</xdr:row>
      <xdr:rowOff>82906</xdr:rowOff>
    </xdr:to>
    <xdr:sp macro="" textlink="$C$60">
      <xdr:nvSpPr>
        <xdr:cNvPr id="13" name="TextBox 12">
          <a:extLst>
            <a:ext uri="{FF2B5EF4-FFF2-40B4-BE49-F238E27FC236}">
              <a16:creationId xmlns:a16="http://schemas.microsoft.com/office/drawing/2014/main" id="{A98FF116-FC5B-4694-96F7-71994338F4D5}"/>
            </a:ext>
          </a:extLst>
        </xdr:cNvPr>
        <xdr:cNvSpPr txBox="1"/>
      </xdr:nvSpPr>
      <xdr:spPr>
        <a:xfrm>
          <a:off x="9139180" y="2385060"/>
          <a:ext cx="977952"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A33B9D-F834-4294-BE87-29F6752F0B43}" type="TxLink">
            <a:rPr lang="en-US" sz="1200" b="0" i="0" u="none" strike="noStrike">
              <a:solidFill>
                <a:schemeClr val="tx2">
                  <a:lumMod val="25000"/>
                  <a:lumOff val="75000"/>
                </a:schemeClr>
              </a:solidFill>
              <a:latin typeface="Aptos Narrow"/>
            </a:rPr>
            <a:pPr algn="ctr"/>
            <a:t> </a:t>
          </a:fld>
          <a:endParaRPr lang="ru-RU" sz="1600" b="0">
            <a:solidFill>
              <a:schemeClr val="tx2">
                <a:lumMod val="25000"/>
                <a:lumOff val="75000"/>
              </a:schemeClr>
            </a:solidFill>
          </a:endParaRPr>
        </a:p>
      </xdr:txBody>
    </xdr:sp>
    <xdr:clientData/>
  </xdr:twoCellAnchor>
  <xdr:twoCellAnchor>
    <xdr:from>
      <xdr:col>14</xdr:col>
      <xdr:colOff>604780</xdr:colOff>
      <xdr:row>14</xdr:row>
      <xdr:rowOff>63292</xdr:rowOff>
    </xdr:from>
    <xdr:to>
      <xdr:col>16</xdr:col>
      <xdr:colOff>363532</xdr:colOff>
      <xdr:row>15</xdr:row>
      <xdr:rowOff>164395</xdr:rowOff>
    </xdr:to>
    <xdr:sp macro="" textlink="$D$55">
      <xdr:nvSpPr>
        <xdr:cNvPr id="14" name="TextBox 13">
          <a:extLst>
            <a:ext uri="{FF2B5EF4-FFF2-40B4-BE49-F238E27FC236}">
              <a16:creationId xmlns:a16="http://schemas.microsoft.com/office/drawing/2014/main" id="{2A611176-0C9F-4B1F-AA0B-74022BBD3E0A}"/>
            </a:ext>
          </a:extLst>
        </xdr:cNvPr>
        <xdr:cNvSpPr txBox="1"/>
      </xdr:nvSpPr>
      <xdr:spPr>
        <a:xfrm>
          <a:off x="9139180" y="2623612"/>
          <a:ext cx="977952" cy="28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C2A362-1984-4E0F-B2F1-1722CB1B7A1B}" type="TxLink">
            <a:rPr lang="en-US" sz="2400" b="0" i="0" u="none" strike="noStrike">
              <a:solidFill>
                <a:schemeClr val="bg1"/>
              </a:solidFill>
              <a:latin typeface="Aptos Narrow"/>
            </a:rPr>
            <a:pPr algn="ctr"/>
            <a:t> </a:t>
          </a:fld>
          <a:endParaRPr lang="ru-RU" sz="2400" b="0">
            <a:solidFill>
              <a:schemeClr val="bg1"/>
            </a:solidFill>
          </a:endParaRPr>
        </a:p>
      </xdr:txBody>
    </xdr:sp>
    <xdr:clientData/>
  </xdr:twoCellAnchor>
  <xdr:twoCellAnchor>
    <xdr:from>
      <xdr:col>7</xdr:col>
      <xdr:colOff>332740</xdr:colOff>
      <xdr:row>20</xdr:row>
      <xdr:rowOff>124968</xdr:rowOff>
    </xdr:from>
    <xdr:to>
      <xdr:col>13</xdr:col>
      <xdr:colOff>434341</xdr:colOff>
      <xdr:row>34</xdr:row>
      <xdr:rowOff>45720</xdr:rowOff>
    </xdr:to>
    <xdr:graphicFrame macro="">
      <xdr:nvGraphicFramePr>
        <xdr:cNvPr id="15" name="Chart 14" hidden="1">
          <a:extLst>
            <a:ext uri="{FF2B5EF4-FFF2-40B4-BE49-F238E27FC236}">
              <a16:creationId xmlns:a16="http://schemas.microsoft.com/office/drawing/2014/main" id="{B0F6D461-D17E-4844-8996-1346E31955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392614</xdr:colOff>
      <xdr:row>25</xdr:row>
      <xdr:rowOff>63955</xdr:rowOff>
    </xdr:from>
    <xdr:to>
      <xdr:col>15</xdr:col>
      <xdr:colOff>404806</xdr:colOff>
      <xdr:row>29</xdr:row>
      <xdr:rowOff>127963</xdr:rowOff>
    </xdr:to>
    <xdr:sp macro="" textlink="$D$76">
      <xdr:nvSpPr>
        <xdr:cNvPr id="16" name="TextBox 15">
          <a:extLst>
            <a:ext uri="{FF2B5EF4-FFF2-40B4-BE49-F238E27FC236}">
              <a16:creationId xmlns:a16="http://schemas.microsoft.com/office/drawing/2014/main" id="{147972DA-58EB-46DD-9B8E-ED960D0A0641}"/>
            </a:ext>
          </a:extLst>
        </xdr:cNvPr>
        <xdr:cNvSpPr txBox="1"/>
      </xdr:nvSpPr>
      <xdr:spPr>
        <a:xfrm>
          <a:off x="8927014" y="4635955"/>
          <a:ext cx="621792" cy="795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1AC67DD-5614-4ED2-B1AD-9682E26BEFA2}" type="TxLink">
            <a:rPr lang="en-US" sz="800" b="0" i="0" u="none" strike="noStrike">
              <a:solidFill>
                <a:schemeClr val="tx2">
                  <a:lumMod val="25000"/>
                  <a:lumOff val="75000"/>
                </a:schemeClr>
              </a:solidFill>
              <a:latin typeface="Aptos Narrow"/>
            </a:rPr>
            <a:pPr algn="l"/>
            <a:t> </a:t>
          </a:fld>
          <a:endParaRPr lang="ru-RU" sz="800" b="0">
            <a:solidFill>
              <a:schemeClr val="tx2">
                <a:lumMod val="25000"/>
                <a:lumOff val="75000"/>
              </a:schemeClr>
            </a:solidFill>
          </a:endParaRPr>
        </a:p>
      </xdr:txBody>
    </xdr:sp>
    <xdr:clientData/>
  </xdr:twoCellAnchor>
  <xdr:twoCellAnchor>
    <xdr:from>
      <xdr:col>19</xdr:col>
      <xdr:colOff>34668</xdr:colOff>
      <xdr:row>22</xdr:row>
      <xdr:rowOff>147769</xdr:rowOff>
    </xdr:from>
    <xdr:to>
      <xdr:col>20</xdr:col>
      <xdr:colOff>447672</xdr:colOff>
      <xdr:row>24</xdr:row>
      <xdr:rowOff>40175</xdr:rowOff>
    </xdr:to>
    <xdr:sp macro="" textlink="$A$53">
      <xdr:nvSpPr>
        <xdr:cNvPr id="17" name="TextBox 16">
          <a:extLst>
            <a:ext uri="{FF2B5EF4-FFF2-40B4-BE49-F238E27FC236}">
              <a16:creationId xmlns:a16="http://schemas.microsoft.com/office/drawing/2014/main" id="{07DCCE2E-06E1-4FA0-B6FE-5B604692373C}"/>
            </a:ext>
          </a:extLst>
        </xdr:cNvPr>
        <xdr:cNvSpPr txBox="1"/>
      </xdr:nvSpPr>
      <xdr:spPr>
        <a:xfrm>
          <a:off x="11617068" y="4171129"/>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1732DB7-45E1-47AD-8A64-12C1477C1F51}" type="TxLink">
            <a:rPr lang="en-US" sz="1400" b="0" i="0" u="none" strike="noStrike">
              <a:solidFill>
                <a:schemeClr val="tx2">
                  <a:lumMod val="25000"/>
                  <a:lumOff val="75000"/>
                </a:schemeClr>
              </a:solidFill>
              <a:latin typeface="Aptos Narrow"/>
            </a:rPr>
            <a:pPr algn="l"/>
            <a:t> </a:t>
          </a:fld>
          <a:endParaRPr lang="ru-RU" sz="2000">
            <a:solidFill>
              <a:schemeClr val="tx2">
                <a:lumMod val="25000"/>
                <a:lumOff val="75000"/>
              </a:schemeClr>
            </a:solidFill>
          </a:endParaRPr>
        </a:p>
      </xdr:txBody>
    </xdr:sp>
    <xdr:clientData/>
  </xdr:twoCellAnchor>
  <xdr:twoCellAnchor>
    <xdr:from>
      <xdr:col>19</xdr:col>
      <xdr:colOff>34668</xdr:colOff>
      <xdr:row>25</xdr:row>
      <xdr:rowOff>48666</xdr:rowOff>
    </xdr:from>
    <xdr:to>
      <xdr:col>20</xdr:col>
      <xdr:colOff>447672</xdr:colOff>
      <xdr:row>26</xdr:row>
      <xdr:rowOff>123952</xdr:rowOff>
    </xdr:to>
    <xdr:sp macro="" textlink="$A$54">
      <xdr:nvSpPr>
        <xdr:cNvPr id="18" name="TextBox 17">
          <a:extLst>
            <a:ext uri="{FF2B5EF4-FFF2-40B4-BE49-F238E27FC236}">
              <a16:creationId xmlns:a16="http://schemas.microsoft.com/office/drawing/2014/main" id="{1735C145-F01D-43DE-B0BE-A1E8F13574A2}"/>
            </a:ext>
          </a:extLst>
        </xdr:cNvPr>
        <xdr:cNvSpPr txBox="1"/>
      </xdr:nvSpPr>
      <xdr:spPr>
        <a:xfrm>
          <a:off x="11617068" y="4620666"/>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4132016-B00B-4926-87EE-A0F664231BBC}" type="TxLink">
            <a:rPr lang="en-US" sz="1400" b="0" i="0" u="none" strike="noStrike">
              <a:solidFill>
                <a:schemeClr val="tx2">
                  <a:lumMod val="25000"/>
                  <a:lumOff val="75000"/>
                </a:schemeClr>
              </a:solidFill>
              <a:latin typeface="Aptos Narrow"/>
            </a:rPr>
            <a:pPr algn="l"/>
            <a:t> </a:t>
          </a:fld>
          <a:endParaRPr lang="ru-RU" sz="1600">
            <a:solidFill>
              <a:schemeClr val="tx2">
                <a:lumMod val="25000"/>
                <a:lumOff val="75000"/>
              </a:schemeClr>
            </a:solidFill>
          </a:endParaRPr>
        </a:p>
      </xdr:txBody>
    </xdr:sp>
    <xdr:clientData/>
  </xdr:twoCellAnchor>
  <xdr:twoCellAnchor>
    <xdr:from>
      <xdr:col>19</xdr:col>
      <xdr:colOff>34668</xdr:colOff>
      <xdr:row>27</xdr:row>
      <xdr:rowOff>132443</xdr:rowOff>
    </xdr:from>
    <xdr:to>
      <xdr:col>20</xdr:col>
      <xdr:colOff>447672</xdr:colOff>
      <xdr:row>29</xdr:row>
      <xdr:rowOff>24849</xdr:rowOff>
    </xdr:to>
    <xdr:sp macro="" textlink="$A$55">
      <xdr:nvSpPr>
        <xdr:cNvPr id="19" name="TextBox 18">
          <a:extLst>
            <a:ext uri="{FF2B5EF4-FFF2-40B4-BE49-F238E27FC236}">
              <a16:creationId xmlns:a16="http://schemas.microsoft.com/office/drawing/2014/main" id="{92A407D0-1E9B-4874-9ADA-82E156C43CE2}"/>
            </a:ext>
          </a:extLst>
        </xdr:cNvPr>
        <xdr:cNvSpPr txBox="1"/>
      </xdr:nvSpPr>
      <xdr:spPr>
        <a:xfrm>
          <a:off x="11617068" y="5070203"/>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800EC6F-4F9A-4655-982C-0D43CE89D16F}" type="TxLink">
            <a:rPr lang="en-US" sz="1400" b="0" i="0" u="none" strike="noStrike">
              <a:solidFill>
                <a:schemeClr val="tx2">
                  <a:lumMod val="25000"/>
                  <a:lumOff val="75000"/>
                </a:schemeClr>
              </a:solidFill>
              <a:latin typeface="Aptos Narrow"/>
            </a:rPr>
            <a:pPr algn="l"/>
            <a:t> </a:t>
          </a:fld>
          <a:endParaRPr lang="ru-RU" sz="2000">
            <a:solidFill>
              <a:schemeClr val="tx2">
                <a:lumMod val="25000"/>
                <a:lumOff val="75000"/>
              </a:schemeClr>
            </a:solidFill>
          </a:endParaRPr>
        </a:p>
      </xdr:txBody>
    </xdr:sp>
    <xdr:clientData/>
  </xdr:twoCellAnchor>
  <xdr:twoCellAnchor>
    <xdr:from>
      <xdr:col>19</xdr:col>
      <xdr:colOff>34668</xdr:colOff>
      <xdr:row>30</xdr:row>
      <xdr:rowOff>33340</xdr:rowOff>
    </xdr:from>
    <xdr:to>
      <xdr:col>20</xdr:col>
      <xdr:colOff>447672</xdr:colOff>
      <xdr:row>31</xdr:row>
      <xdr:rowOff>108626</xdr:rowOff>
    </xdr:to>
    <xdr:sp macro="" textlink="$A$56">
      <xdr:nvSpPr>
        <xdr:cNvPr id="20" name="TextBox 19">
          <a:extLst>
            <a:ext uri="{FF2B5EF4-FFF2-40B4-BE49-F238E27FC236}">
              <a16:creationId xmlns:a16="http://schemas.microsoft.com/office/drawing/2014/main" id="{B72E3BBE-96F1-49CA-A763-508D4B83BB75}"/>
            </a:ext>
          </a:extLst>
        </xdr:cNvPr>
        <xdr:cNvSpPr txBox="1"/>
      </xdr:nvSpPr>
      <xdr:spPr>
        <a:xfrm>
          <a:off x="11617068" y="5519740"/>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8C18B09-F15C-49A8-BDC9-19B94F66EBF7}" type="TxLink">
            <a:rPr lang="en-US" sz="1400" b="0" i="0" u="none" strike="noStrike">
              <a:solidFill>
                <a:schemeClr val="tx2">
                  <a:lumMod val="25000"/>
                  <a:lumOff val="75000"/>
                </a:schemeClr>
              </a:solidFill>
              <a:latin typeface="Aptos Narrow"/>
              <a:ea typeface="+mn-ea"/>
              <a:cs typeface="+mn-cs"/>
            </a:rPr>
            <a:pPr marL="0" indent="0" algn="l"/>
            <a:t> </a:t>
          </a:fld>
          <a:endParaRPr lang="ru-RU" sz="1400" b="0" i="0" u="none" strike="noStrike">
            <a:solidFill>
              <a:schemeClr val="tx2">
                <a:lumMod val="25000"/>
                <a:lumOff val="75000"/>
              </a:schemeClr>
            </a:solidFill>
            <a:latin typeface="Aptos Narrow"/>
            <a:ea typeface="+mn-ea"/>
            <a:cs typeface="+mn-cs"/>
          </a:endParaRPr>
        </a:p>
      </xdr:txBody>
    </xdr:sp>
    <xdr:clientData/>
  </xdr:twoCellAnchor>
  <xdr:twoCellAnchor>
    <xdr:from>
      <xdr:col>20</xdr:col>
      <xdr:colOff>263268</xdr:colOff>
      <xdr:row>22</xdr:row>
      <xdr:rowOff>147769</xdr:rowOff>
    </xdr:from>
    <xdr:to>
      <xdr:col>22</xdr:col>
      <xdr:colOff>66672</xdr:colOff>
      <xdr:row>24</xdr:row>
      <xdr:rowOff>40175</xdr:rowOff>
    </xdr:to>
    <xdr:sp macro="" textlink="$B$53">
      <xdr:nvSpPr>
        <xdr:cNvPr id="21" name="TextBox 20">
          <a:extLst>
            <a:ext uri="{FF2B5EF4-FFF2-40B4-BE49-F238E27FC236}">
              <a16:creationId xmlns:a16="http://schemas.microsoft.com/office/drawing/2014/main" id="{6457C651-C305-4B1A-942C-AA5C68F38A02}"/>
            </a:ext>
          </a:extLst>
        </xdr:cNvPr>
        <xdr:cNvSpPr txBox="1"/>
      </xdr:nvSpPr>
      <xdr:spPr>
        <a:xfrm>
          <a:off x="12455268" y="4171129"/>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E47465B1-4BE7-4C23-8B11-42192BF425CF}" type="TxLink">
            <a:rPr lang="en-US" sz="1400" b="0" i="0" u="none" strike="noStrike">
              <a:solidFill>
                <a:schemeClr val="tx2">
                  <a:lumMod val="25000"/>
                  <a:lumOff val="75000"/>
                </a:schemeClr>
              </a:solidFill>
              <a:latin typeface="Aptos Narrow"/>
            </a:rPr>
            <a:pPr algn="r"/>
            <a:t> </a:t>
          </a:fld>
          <a:endParaRPr lang="ru-RU" sz="2800">
            <a:solidFill>
              <a:schemeClr val="tx2">
                <a:lumMod val="25000"/>
                <a:lumOff val="75000"/>
              </a:schemeClr>
            </a:solidFill>
          </a:endParaRPr>
        </a:p>
      </xdr:txBody>
    </xdr:sp>
    <xdr:clientData/>
  </xdr:twoCellAnchor>
  <xdr:twoCellAnchor>
    <xdr:from>
      <xdr:col>20</xdr:col>
      <xdr:colOff>263268</xdr:colOff>
      <xdr:row>25</xdr:row>
      <xdr:rowOff>48666</xdr:rowOff>
    </xdr:from>
    <xdr:to>
      <xdr:col>22</xdr:col>
      <xdr:colOff>66672</xdr:colOff>
      <xdr:row>26</xdr:row>
      <xdr:rowOff>123952</xdr:rowOff>
    </xdr:to>
    <xdr:sp macro="" textlink="$B$54">
      <xdr:nvSpPr>
        <xdr:cNvPr id="22" name="TextBox 21">
          <a:extLst>
            <a:ext uri="{FF2B5EF4-FFF2-40B4-BE49-F238E27FC236}">
              <a16:creationId xmlns:a16="http://schemas.microsoft.com/office/drawing/2014/main" id="{1568AAA6-3347-45EE-8158-8407456CCF42}"/>
            </a:ext>
          </a:extLst>
        </xdr:cNvPr>
        <xdr:cNvSpPr txBox="1"/>
      </xdr:nvSpPr>
      <xdr:spPr>
        <a:xfrm>
          <a:off x="12455268" y="4620666"/>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3204228-334F-480A-BAD4-3079A2B6170F}" type="TxLink">
            <a:rPr lang="en-US" sz="1400" b="0" i="0" u="none" strike="noStrike">
              <a:solidFill>
                <a:schemeClr val="tx2">
                  <a:lumMod val="25000"/>
                  <a:lumOff val="75000"/>
                </a:schemeClr>
              </a:solidFill>
              <a:latin typeface="Aptos Narrow"/>
            </a:rPr>
            <a:pPr algn="r"/>
            <a:t> </a:t>
          </a:fld>
          <a:endParaRPr lang="ru-RU" sz="2000">
            <a:solidFill>
              <a:schemeClr val="tx2">
                <a:lumMod val="25000"/>
                <a:lumOff val="75000"/>
              </a:schemeClr>
            </a:solidFill>
          </a:endParaRPr>
        </a:p>
      </xdr:txBody>
    </xdr:sp>
    <xdr:clientData/>
  </xdr:twoCellAnchor>
  <xdr:twoCellAnchor>
    <xdr:from>
      <xdr:col>20</xdr:col>
      <xdr:colOff>263268</xdr:colOff>
      <xdr:row>27</xdr:row>
      <xdr:rowOff>132443</xdr:rowOff>
    </xdr:from>
    <xdr:to>
      <xdr:col>22</xdr:col>
      <xdr:colOff>66672</xdr:colOff>
      <xdr:row>29</xdr:row>
      <xdr:rowOff>24849</xdr:rowOff>
    </xdr:to>
    <xdr:sp macro="" textlink="$B$55">
      <xdr:nvSpPr>
        <xdr:cNvPr id="23" name="TextBox 22">
          <a:extLst>
            <a:ext uri="{FF2B5EF4-FFF2-40B4-BE49-F238E27FC236}">
              <a16:creationId xmlns:a16="http://schemas.microsoft.com/office/drawing/2014/main" id="{1EBECF4F-EB9C-4159-84B8-FC4E9777840F}"/>
            </a:ext>
          </a:extLst>
        </xdr:cNvPr>
        <xdr:cNvSpPr txBox="1"/>
      </xdr:nvSpPr>
      <xdr:spPr>
        <a:xfrm>
          <a:off x="12455268" y="5070203"/>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E9644FEF-9BA8-41DF-881D-E8A1244A7CAE}" type="TxLink">
            <a:rPr lang="en-US" sz="1400" b="0" i="0" u="none" strike="noStrike">
              <a:solidFill>
                <a:schemeClr val="tx2">
                  <a:lumMod val="25000"/>
                  <a:lumOff val="75000"/>
                </a:schemeClr>
              </a:solidFill>
              <a:latin typeface="Aptos Narrow"/>
            </a:rPr>
            <a:pPr algn="r"/>
            <a:t> </a:t>
          </a:fld>
          <a:endParaRPr lang="ru-RU" sz="2800">
            <a:solidFill>
              <a:schemeClr val="tx2">
                <a:lumMod val="25000"/>
                <a:lumOff val="75000"/>
              </a:schemeClr>
            </a:solidFill>
          </a:endParaRPr>
        </a:p>
      </xdr:txBody>
    </xdr:sp>
    <xdr:clientData/>
  </xdr:twoCellAnchor>
  <xdr:twoCellAnchor>
    <xdr:from>
      <xdr:col>20</xdr:col>
      <xdr:colOff>328582</xdr:colOff>
      <xdr:row>32</xdr:row>
      <xdr:rowOff>109539</xdr:rowOff>
    </xdr:from>
    <xdr:to>
      <xdr:col>22</xdr:col>
      <xdr:colOff>131986</xdr:colOff>
      <xdr:row>33</xdr:row>
      <xdr:rowOff>184825</xdr:rowOff>
    </xdr:to>
    <xdr:sp macro="" textlink="$B$56">
      <xdr:nvSpPr>
        <xdr:cNvPr id="24" name="TextBox 23">
          <a:extLst>
            <a:ext uri="{FF2B5EF4-FFF2-40B4-BE49-F238E27FC236}">
              <a16:creationId xmlns:a16="http://schemas.microsoft.com/office/drawing/2014/main" id="{688B8B5F-F671-4F66-9DFC-C3DF514C0E3A}"/>
            </a:ext>
          </a:extLst>
        </xdr:cNvPr>
        <xdr:cNvSpPr txBox="1"/>
      </xdr:nvSpPr>
      <xdr:spPr>
        <a:xfrm>
          <a:off x="12520582" y="5961699"/>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8F9D2ED-7794-4CAD-A140-112658E75D64}" type="TxLink">
            <a:rPr lang="en-US" sz="1400" b="0" i="0" u="none" strike="noStrike">
              <a:solidFill>
                <a:schemeClr val="tx2">
                  <a:lumMod val="25000"/>
                  <a:lumOff val="75000"/>
                </a:schemeClr>
              </a:solidFill>
              <a:latin typeface="Aptos Narrow"/>
              <a:ea typeface="+mn-ea"/>
              <a:cs typeface="+mn-cs"/>
            </a:rPr>
            <a:pPr marL="0" indent="0" algn="r"/>
            <a:t>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20</xdr:col>
      <xdr:colOff>263268</xdr:colOff>
      <xdr:row>32</xdr:row>
      <xdr:rowOff>117117</xdr:rowOff>
    </xdr:from>
    <xdr:to>
      <xdr:col>22</xdr:col>
      <xdr:colOff>66672</xdr:colOff>
      <xdr:row>34</xdr:row>
      <xdr:rowOff>9523</xdr:rowOff>
    </xdr:to>
    <xdr:sp macro="" textlink="$B$57">
      <xdr:nvSpPr>
        <xdr:cNvPr id="25" name="TextBox 24">
          <a:extLst>
            <a:ext uri="{FF2B5EF4-FFF2-40B4-BE49-F238E27FC236}">
              <a16:creationId xmlns:a16="http://schemas.microsoft.com/office/drawing/2014/main" id="{E6C7C87E-ACF1-4EEF-8833-95B2FE27212C}"/>
            </a:ext>
          </a:extLst>
        </xdr:cNvPr>
        <xdr:cNvSpPr txBox="1"/>
      </xdr:nvSpPr>
      <xdr:spPr>
        <a:xfrm>
          <a:off x="12455268" y="596927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34374E5-FE8C-4C24-ABA4-7352FE20634F}" type="TxLink">
            <a:rPr lang="en-US" sz="1400" b="0" i="0" u="none" strike="noStrike">
              <a:solidFill>
                <a:schemeClr val="tx2">
                  <a:lumMod val="25000"/>
                  <a:lumOff val="75000"/>
                </a:schemeClr>
              </a:solidFill>
              <a:latin typeface="Aptos Narrow"/>
              <a:ea typeface="+mn-ea"/>
              <a:cs typeface="+mn-cs"/>
            </a:rPr>
            <a:pPr marL="0" indent="0" algn="r"/>
            <a:t>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2</xdr:col>
      <xdr:colOff>251460</xdr:colOff>
      <xdr:row>3</xdr:row>
      <xdr:rowOff>175260</xdr:rowOff>
    </xdr:from>
    <xdr:to>
      <xdr:col>4</xdr:col>
      <xdr:colOff>10212</xdr:colOff>
      <xdr:row>6</xdr:row>
      <xdr:rowOff>137160</xdr:rowOff>
    </xdr:to>
    <xdr:sp macro="" textlink="#REF!">
      <xdr:nvSpPr>
        <xdr:cNvPr id="26" name="TextBox 25">
          <a:extLst>
            <a:ext uri="{FF2B5EF4-FFF2-40B4-BE49-F238E27FC236}">
              <a16:creationId xmlns:a16="http://schemas.microsoft.com/office/drawing/2014/main" id="{E75386A4-12AC-4A6E-A16C-6112B9CD0066}"/>
            </a:ext>
          </a:extLst>
        </xdr:cNvPr>
        <xdr:cNvSpPr txBox="1"/>
      </xdr:nvSpPr>
      <xdr:spPr>
        <a:xfrm>
          <a:off x="1470660" y="723900"/>
          <a:ext cx="977952" cy="510540"/>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chemeClr val="tx2">
                  <a:lumMod val="10000"/>
                  <a:lumOff val="90000"/>
                </a:schemeClr>
              </a:solidFill>
              <a:latin typeface="Aptos Narrow"/>
              <a:ea typeface="+mn-ea"/>
              <a:cs typeface="+mn-cs"/>
            </a:rPr>
            <a:t>Macro Economics</a:t>
          </a:r>
          <a:endParaRPr lang="ru-RU" sz="1200" b="0" i="0" u="none" strike="noStrike">
            <a:solidFill>
              <a:schemeClr val="tx2">
                <a:lumMod val="10000"/>
                <a:lumOff val="90000"/>
              </a:schemeClr>
            </a:solidFill>
            <a:latin typeface="Aptos Narrow"/>
            <a:ea typeface="+mn-ea"/>
            <a:cs typeface="+mn-cs"/>
          </a:endParaRPr>
        </a:p>
      </xdr:txBody>
    </xdr:sp>
    <xdr:clientData/>
  </xdr:twoCellAnchor>
  <xdr:twoCellAnchor>
    <xdr:from>
      <xdr:col>2</xdr:col>
      <xdr:colOff>266700</xdr:colOff>
      <xdr:row>4</xdr:row>
      <xdr:rowOff>64770</xdr:rowOff>
    </xdr:from>
    <xdr:to>
      <xdr:col>2</xdr:col>
      <xdr:colOff>266700</xdr:colOff>
      <xdr:row>6</xdr:row>
      <xdr:rowOff>64770</xdr:rowOff>
    </xdr:to>
    <xdr:cxnSp macro="">
      <xdr:nvCxnSpPr>
        <xdr:cNvPr id="27" name="Straight Connector 26">
          <a:extLst>
            <a:ext uri="{FF2B5EF4-FFF2-40B4-BE49-F238E27FC236}">
              <a16:creationId xmlns:a16="http://schemas.microsoft.com/office/drawing/2014/main" id="{29AB3055-83C2-4AF0-9490-CDC28B49E7A5}"/>
            </a:ext>
          </a:extLst>
        </xdr:cNvPr>
        <xdr:cNvCxnSpPr/>
      </xdr:nvCxnSpPr>
      <xdr:spPr>
        <a:xfrm>
          <a:off x="1485900" y="796290"/>
          <a:ext cx="0" cy="365760"/>
        </a:xfrm>
        <a:prstGeom prst="line">
          <a:avLst/>
        </a:prstGeom>
        <a:ln w="9525">
          <a:solidFill>
            <a:schemeClr val="tx2">
              <a:lumMod val="25000"/>
              <a:lumOff val="75000"/>
            </a:schemeClr>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xdr:col>
      <xdr:colOff>385482</xdr:colOff>
      <xdr:row>4</xdr:row>
      <xdr:rowOff>116542</xdr:rowOff>
    </xdr:from>
    <xdr:to>
      <xdr:col>2</xdr:col>
      <xdr:colOff>215153</xdr:colOff>
      <xdr:row>6</xdr:row>
      <xdr:rowOff>18932</xdr:rowOff>
    </xdr:to>
    <xdr:pic>
      <xdr:nvPicPr>
        <xdr:cNvPr id="28" name="Picture 27">
          <a:extLst>
            <a:ext uri="{FF2B5EF4-FFF2-40B4-BE49-F238E27FC236}">
              <a16:creationId xmlns:a16="http://schemas.microsoft.com/office/drawing/2014/main" id="{10BAA7C0-161B-4FCE-957E-45E4CA585C8C}"/>
            </a:ext>
          </a:extLst>
        </xdr:cNvPr>
        <xdr:cNvPicPr>
          <a:picLocks noChangeAspect="1"/>
        </xdr:cNvPicPr>
      </xdr:nvPicPr>
      <xdr:blipFill>
        <a:blip xmlns:r="http://schemas.openxmlformats.org/officeDocument/2006/relationships" r:embed="rId5"/>
        <a:stretch>
          <a:fillRect/>
        </a:stretch>
      </xdr:blipFill>
      <xdr:spPr>
        <a:xfrm>
          <a:off x="995082" y="848062"/>
          <a:ext cx="439271" cy="268150"/>
        </a:xfrm>
        <a:prstGeom prst="rect">
          <a:avLst/>
        </a:prstGeom>
      </xdr:spPr>
    </xdr:pic>
    <xdr:clientData/>
  </xdr:twoCellAnchor>
  <xdr:twoCellAnchor>
    <xdr:from>
      <xdr:col>1</xdr:col>
      <xdr:colOff>514296</xdr:colOff>
      <xdr:row>12</xdr:row>
      <xdr:rowOff>31339</xdr:rowOff>
    </xdr:from>
    <xdr:to>
      <xdr:col>3</xdr:col>
      <xdr:colOff>419960</xdr:colOff>
      <xdr:row>16</xdr:row>
      <xdr:rowOff>5418</xdr:rowOff>
    </xdr:to>
    <xdr:grpSp>
      <xdr:nvGrpSpPr>
        <xdr:cNvPr id="29" name="Group 28">
          <a:hlinkClick xmlns:r="http://schemas.openxmlformats.org/officeDocument/2006/relationships" r:id="rId6"/>
          <a:extLst>
            <a:ext uri="{FF2B5EF4-FFF2-40B4-BE49-F238E27FC236}">
              <a16:creationId xmlns:a16="http://schemas.microsoft.com/office/drawing/2014/main" id="{A8993743-7152-4E86-8018-7DE6F77290CF}"/>
            </a:ext>
          </a:extLst>
        </xdr:cNvPr>
        <xdr:cNvGrpSpPr/>
      </xdr:nvGrpSpPr>
      <xdr:grpSpPr>
        <a:xfrm>
          <a:off x="1123896" y="2203039"/>
          <a:ext cx="1124864" cy="697979"/>
          <a:chOff x="1123896" y="2225899"/>
          <a:chExt cx="1124864" cy="705599"/>
        </a:xfrm>
        <a:effectLst/>
      </xdr:grpSpPr>
      <xdr:sp macro="" textlink="#REF!">
        <xdr:nvSpPr>
          <xdr:cNvPr id="30" name="TextBox 29">
            <a:extLst>
              <a:ext uri="{FF2B5EF4-FFF2-40B4-BE49-F238E27FC236}">
                <a16:creationId xmlns:a16="http://schemas.microsoft.com/office/drawing/2014/main" id="{3571E090-DF65-F694-AF3E-812E36E3ABF6}"/>
              </a:ext>
            </a:extLst>
          </xdr:cNvPr>
          <xdr:cNvSpPr txBox="1"/>
        </xdr:nvSpPr>
        <xdr:spPr>
          <a:xfrm>
            <a:off x="1123896" y="2675982"/>
            <a:ext cx="1124864" cy="255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Real Sector</a:t>
            </a:r>
          </a:p>
        </xdr:txBody>
      </xdr:sp>
      <xdr:pic>
        <xdr:nvPicPr>
          <xdr:cNvPr id="31" name="Graphic 30" descr="Factory outline">
            <a:extLst>
              <a:ext uri="{FF2B5EF4-FFF2-40B4-BE49-F238E27FC236}">
                <a16:creationId xmlns:a16="http://schemas.microsoft.com/office/drawing/2014/main" id="{86A849F9-0B31-9223-6F26-68058BFB784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421216" y="2225899"/>
            <a:ext cx="527019" cy="535332"/>
          </a:xfrm>
          <a:prstGeom prst="rect">
            <a:avLst/>
          </a:prstGeom>
          <a:effectLst/>
        </xdr:spPr>
      </xdr:pic>
    </xdr:grpSp>
    <xdr:clientData/>
  </xdr:twoCellAnchor>
  <xdr:twoCellAnchor>
    <xdr:from>
      <xdr:col>1</xdr:col>
      <xdr:colOff>493513</xdr:colOff>
      <xdr:row>16</xdr:row>
      <xdr:rowOff>44807</xdr:rowOff>
    </xdr:from>
    <xdr:to>
      <xdr:col>3</xdr:col>
      <xdr:colOff>399177</xdr:colOff>
      <xdr:row>20</xdr:row>
      <xdr:rowOff>10031</xdr:rowOff>
    </xdr:to>
    <xdr:grpSp>
      <xdr:nvGrpSpPr>
        <xdr:cNvPr id="32" name="Group 31">
          <a:hlinkClick xmlns:r="http://schemas.openxmlformats.org/officeDocument/2006/relationships" r:id="rId9"/>
          <a:extLst>
            <a:ext uri="{FF2B5EF4-FFF2-40B4-BE49-F238E27FC236}">
              <a16:creationId xmlns:a16="http://schemas.microsoft.com/office/drawing/2014/main" id="{7B0479A3-2C1B-4B9C-B777-561E2BB2358C}"/>
            </a:ext>
          </a:extLst>
        </xdr:cNvPr>
        <xdr:cNvGrpSpPr/>
      </xdr:nvGrpSpPr>
      <xdr:grpSpPr>
        <a:xfrm>
          <a:off x="1103113" y="2940407"/>
          <a:ext cx="1124864" cy="689124"/>
          <a:chOff x="1103113" y="2970887"/>
          <a:chExt cx="1124864" cy="696744"/>
        </a:xfrm>
      </xdr:grpSpPr>
      <xdr:pic>
        <xdr:nvPicPr>
          <xdr:cNvPr id="33" name="Graphic 32" descr="Bank outline">
            <a:extLst>
              <a:ext uri="{FF2B5EF4-FFF2-40B4-BE49-F238E27FC236}">
                <a16:creationId xmlns:a16="http://schemas.microsoft.com/office/drawing/2014/main" id="{7BF5F4DC-CE37-F841-E59B-EBB37A444B6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401163" y="2970887"/>
            <a:ext cx="535254" cy="538929"/>
          </a:xfrm>
          <a:prstGeom prst="rect">
            <a:avLst/>
          </a:prstGeom>
          <a:effectLst/>
        </xdr:spPr>
      </xdr:pic>
      <xdr:sp macro="" textlink="#REF!">
        <xdr:nvSpPr>
          <xdr:cNvPr id="34" name="TextBox 33">
            <a:extLst>
              <a:ext uri="{FF2B5EF4-FFF2-40B4-BE49-F238E27FC236}">
                <a16:creationId xmlns:a16="http://schemas.microsoft.com/office/drawing/2014/main" id="{2DCAECF7-D547-A744-EE3B-9954FA57A064}"/>
              </a:ext>
            </a:extLst>
          </xdr:cNvPr>
          <xdr:cNvSpPr txBox="1"/>
        </xdr:nvSpPr>
        <xdr:spPr>
          <a:xfrm>
            <a:off x="1103113" y="3411300"/>
            <a:ext cx="1124864" cy="256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Monetary</a:t>
            </a:r>
          </a:p>
        </xdr:txBody>
      </xdr:sp>
    </xdr:grpSp>
    <xdr:clientData/>
  </xdr:twoCellAnchor>
  <xdr:twoCellAnchor>
    <xdr:from>
      <xdr:col>1</xdr:col>
      <xdr:colOff>493514</xdr:colOff>
      <xdr:row>20</xdr:row>
      <xdr:rowOff>46105</xdr:rowOff>
    </xdr:from>
    <xdr:to>
      <xdr:col>3</xdr:col>
      <xdr:colOff>399178</xdr:colOff>
      <xdr:row>24</xdr:row>
      <xdr:rowOff>14643</xdr:rowOff>
    </xdr:to>
    <xdr:grpSp>
      <xdr:nvGrpSpPr>
        <xdr:cNvPr id="35" name="Group 34">
          <a:hlinkClick xmlns:r="http://schemas.openxmlformats.org/officeDocument/2006/relationships" r:id="rId12"/>
          <a:extLst>
            <a:ext uri="{FF2B5EF4-FFF2-40B4-BE49-F238E27FC236}">
              <a16:creationId xmlns:a16="http://schemas.microsoft.com/office/drawing/2014/main" id="{F9333BE9-C294-42AC-9207-6230B63651CB}"/>
            </a:ext>
          </a:extLst>
        </xdr:cNvPr>
        <xdr:cNvGrpSpPr/>
      </xdr:nvGrpSpPr>
      <xdr:grpSpPr>
        <a:xfrm>
          <a:off x="1103114" y="3665605"/>
          <a:ext cx="1124864" cy="692438"/>
          <a:chOff x="1103114" y="3703705"/>
          <a:chExt cx="1124864" cy="700058"/>
        </a:xfrm>
      </xdr:grpSpPr>
      <xdr:pic>
        <xdr:nvPicPr>
          <xdr:cNvPr id="36" name="Graphic 35" descr="Upward trend with solid fill">
            <a:extLst>
              <a:ext uri="{FF2B5EF4-FFF2-40B4-BE49-F238E27FC236}">
                <a16:creationId xmlns:a16="http://schemas.microsoft.com/office/drawing/2014/main" id="{C138CC68-510C-4F0D-2B82-5BFADCA56CF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404870" y="3703705"/>
            <a:ext cx="537654" cy="545967"/>
          </a:xfrm>
          <a:prstGeom prst="rect">
            <a:avLst/>
          </a:prstGeom>
          <a:effectLst/>
        </xdr:spPr>
      </xdr:pic>
      <xdr:sp macro="" textlink="#REF!">
        <xdr:nvSpPr>
          <xdr:cNvPr id="37" name="TextBox 36">
            <a:extLst>
              <a:ext uri="{FF2B5EF4-FFF2-40B4-BE49-F238E27FC236}">
                <a16:creationId xmlns:a16="http://schemas.microsoft.com/office/drawing/2014/main" id="{11209E28-BAC9-81F0-27C0-0B3EEBFA3E37}"/>
              </a:ext>
            </a:extLst>
          </xdr:cNvPr>
          <xdr:cNvSpPr txBox="1"/>
        </xdr:nvSpPr>
        <xdr:spPr>
          <a:xfrm>
            <a:off x="1103114" y="4147432"/>
            <a:ext cx="1124864" cy="256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Inflation</a:t>
            </a:r>
          </a:p>
        </xdr:txBody>
      </xdr:sp>
    </xdr:grpSp>
    <xdr:clientData/>
  </xdr:twoCellAnchor>
  <xdr:twoCellAnchor>
    <xdr:from>
      <xdr:col>1</xdr:col>
      <xdr:colOff>521223</xdr:colOff>
      <xdr:row>24</xdr:row>
      <xdr:rowOff>33423</xdr:rowOff>
    </xdr:from>
    <xdr:to>
      <xdr:col>3</xdr:col>
      <xdr:colOff>426887</xdr:colOff>
      <xdr:row>28</xdr:row>
      <xdr:rowOff>19256</xdr:rowOff>
    </xdr:to>
    <xdr:grpSp>
      <xdr:nvGrpSpPr>
        <xdr:cNvPr id="38" name="Group 37">
          <a:hlinkClick xmlns:r="http://schemas.openxmlformats.org/officeDocument/2006/relationships" r:id="rId15"/>
          <a:extLst>
            <a:ext uri="{FF2B5EF4-FFF2-40B4-BE49-F238E27FC236}">
              <a16:creationId xmlns:a16="http://schemas.microsoft.com/office/drawing/2014/main" id="{1FFEAB22-5882-4679-A93F-6705D1DBE2A1}"/>
            </a:ext>
          </a:extLst>
        </xdr:cNvPr>
        <xdr:cNvGrpSpPr/>
      </xdr:nvGrpSpPr>
      <xdr:grpSpPr>
        <a:xfrm>
          <a:off x="1130823" y="4376823"/>
          <a:ext cx="1124864" cy="709733"/>
          <a:chOff x="1130823" y="4422543"/>
          <a:chExt cx="1124864" cy="717353"/>
        </a:xfrm>
      </xdr:grpSpPr>
      <xdr:pic>
        <xdr:nvPicPr>
          <xdr:cNvPr id="39" name="Graphic 38" descr="Construction worker male outline">
            <a:extLst>
              <a:ext uri="{FF2B5EF4-FFF2-40B4-BE49-F238E27FC236}">
                <a16:creationId xmlns:a16="http://schemas.microsoft.com/office/drawing/2014/main" id="{B0A5AABD-9BE9-9ABC-A8CC-9727F245591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423402" y="4422543"/>
            <a:ext cx="540054" cy="548367"/>
          </a:xfrm>
          <a:prstGeom prst="rect">
            <a:avLst/>
          </a:prstGeom>
          <a:effectLst/>
        </xdr:spPr>
      </xdr:pic>
      <xdr:sp macro="" textlink="#REF!">
        <xdr:nvSpPr>
          <xdr:cNvPr id="40" name="TextBox 39">
            <a:extLst>
              <a:ext uri="{FF2B5EF4-FFF2-40B4-BE49-F238E27FC236}">
                <a16:creationId xmlns:a16="http://schemas.microsoft.com/office/drawing/2014/main" id="{1F3619BF-C7D2-793F-8CE3-209A948335FC}"/>
              </a:ext>
            </a:extLst>
          </xdr:cNvPr>
          <xdr:cNvSpPr txBox="1"/>
        </xdr:nvSpPr>
        <xdr:spPr>
          <a:xfrm>
            <a:off x="1130823" y="4883565"/>
            <a:ext cx="1124864" cy="256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Labour</a:t>
            </a:r>
          </a:p>
        </xdr:txBody>
      </xdr:sp>
    </xdr:grpSp>
    <xdr:clientData/>
  </xdr:twoCellAnchor>
  <xdr:twoCellAnchor>
    <xdr:from>
      <xdr:col>1</xdr:col>
      <xdr:colOff>514296</xdr:colOff>
      <xdr:row>28</xdr:row>
      <xdr:rowOff>41325</xdr:rowOff>
    </xdr:from>
    <xdr:to>
      <xdr:col>3</xdr:col>
      <xdr:colOff>419960</xdr:colOff>
      <xdr:row>32</xdr:row>
      <xdr:rowOff>23868</xdr:rowOff>
    </xdr:to>
    <xdr:grpSp>
      <xdr:nvGrpSpPr>
        <xdr:cNvPr id="41" name="Group 40">
          <a:hlinkClick xmlns:r="http://schemas.openxmlformats.org/officeDocument/2006/relationships" r:id="rId18"/>
          <a:extLst>
            <a:ext uri="{FF2B5EF4-FFF2-40B4-BE49-F238E27FC236}">
              <a16:creationId xmlns:a16="http://schemas.microsoft.com/office/drawing/2014/main" id="{684E603A-F6BF-4C14-B07B-A5FD2F06D9B1}"/>
            </a:ext>
          </a:extLst>
        </xdr:cNvPr>
        <xdr:cNvGrpSpPr/>
      </xdr:nvGrpSpPr>
      <xdr:grpSpPr>
        <a:xfrm>
          <a:off x="1123896" y="5108625"/>
          <a:ext cx="1124864" cy="706443"/>
          <a:chOff x="1123896" y="5161965"/>
          <a:chExt cx="1124864" cy="714063"/>
        </a:xfrm>
      </xdr:grpSpPr>
      <xdr:pic>
        <xdr:nvPicPr>
          <xdr:cNvPr id="42" name="Graphic 41" descr="Miscellaneous outline">
            <a:extLst>
              <a:ext uri="{FF2B5EF4-FFF2-40B4-BE49-F238E27FC236}">
                <a16:creationId xmlns:a16="http://schemas.microsoft.com/office/drawing/2014/main" id="{B922C4C5-400D-9A11-61BE-AFDB446BBE64}"/>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391164" y="5161965"/>
            <a:ext cx="616527" cy="624839"/>
          </a:xfrm>
          <a:prstGeom prst="rect">
            <a:avLst/>
          </a:prstGeom>
          <a:effectLst/>
        </xdr:spPr>
      </xdr:pic>
      <xdr:sp macro="" textlink="#REF!">
        <xdr:nvSpPr>
          <xdr:cNvPr id="43" name="TextBox 42">
            <a:extLst>
              <a:ext uri="{FF2B5EF4-FFF2-40B4-BE49-F238E27FC236}">
                <a16:creationId xmlns:a16="http://schemas.microsoft.com/office/drawing/2014/main" id="{36F7047C-3A69-EEB3-7200-BF5ACBE9B4D6}"/>
              </a:ext>
            </a:extLst>
          </xdr:cNvPr>
          <xdr:cNvSpPr txBox="1"/>
        </xdr:nvSpPr>
        <xdr:spPr>
          <a:xfrm>
            <a:off x="1123896" y="5619697"/>
            <a:ext cx="1124864" cy="256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External</a:t>
            </a:r>
          </a:p>
        </xdr:txBody>
      </xdr:sp>
    </xdr:grpSp>
    <xdr:clientData/>
  </xdr:twoCellAnchor>
  <xdr:twoCellAnchor>
    <xdr:from>
      <xdr:col>1</xdr:col>
      <xdr:colOff>521224</xdr:colOff>
      <xdr:row>31</xdr:row>
      <xdr:rowOff>149881</xdr:rowOff>
    </xdr:from>
    <xdr:to>
      <xdr:col>3</xdr:col>
      <xdr:colOff>426888</xdr:colOff>
      <xdr:row>36</xdr:row>
      <xdr:rowOff>28481</xdr:rowOff>
    </xdr:to>
    <xdr:grpSp>
      <xdr:nvGrpSpPr>
        <xdr:cNvPr id="44" name="Group 43">
          <a:hlinkClick xmlns:r="http://schemas.openxmlformats.org/officeDocument/2006/relationships" r:id="rId21"/>
          <a:extLst>
            <a:ext uri="{FF2B5EF4-FFF2-40B4-BE49-F238E27FC236}">
              <a16:creationId xmlns:a16="http://schemas.microsoft.com/office/drawing/2014/main" id="{E6C3E70E-EB0B-4B30-A3F2-C96BF1938B00}"/>
            </a:ext>
          </a:extLst>
        </xdr:cNvPr>
        <xdr:cNvGrpSpPr/>
      </xdr:nvGrpSpPr>
      <xdr:grpSpPr>
        <a:xfrm>
          <a:off x="1130824" y="5760106"/>
          <a:ext cx="1124864" cy="783475"/>
          <a:chOff x="1130824" y="5819161"/>
          <a:chExt cx="1124864" cy="793000"/>
        </a:xfrm>
      </xdr:grpSpPr>
      <xdr:pic>
        <xdr:nvPicPr>
          <xdr:cNvPr id="45" name="Graphic 44" descr="Scales of justice outline">
            <a:extLst>
              <a:ext uri="{FF2B5EF4-FFF2-40B4-BE49-F238E27FC236}">
                <a16:creationId xmlns:a16="http://schemas.microsoft.com/office/drawing/2014/main" id="{E6BE518B-A8A4-DFB2-BC35-E6EB624C7AE7}"/>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410764" y="5819161"/>
            <a:ext cx="586418" cy="598317"/>
          </a:xfrm>
          <a:prstGeom prst="rect">
            <a:avLst/>
          </a:prstGeom>
          <a:effectLst>
            <a:glow rad="101600">
              <a:srgbClr val="0575F1">
                <a:alpha val="40000"/>
              </a:srgbClr>
            </a:glow>
          </a:effectLst>
        </xdr:spPr>
      </xdr:pic>
      <xdr:sp macro="" textlink="#REF!">
        <xdr:nvSpPr>
          <xdr:cNvPr id="46" name="TextBox 45">
            <a:extLst>
              <a:ext uri="{FF2B5EF4-FFF2-40B4-BE49-F238E27FC236}">
                <a16:creationId xmlns:a16="http://schemas.microsoft.com/office/drawing/2014/main" id="{DFFED2FE-EB1A-C231-C445-31863AF6E001}"/>
              </a:ext>
            </a:extLst>
          </xdr:cNvPr>
          <xdr:cNvSpPr txBox="1"/>
        </xdr:nvSpPr>
        <xdr:spPr>
          <a:xfrm>
            <a:off x="1130824" y="6355830"/>
            <a:ext cx="1124864" cy="256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chemeClr val="bg1"/>
                </a:solidFill>
                <a:latin typeface="Aptos Narrow"/>
                <a:ea typeface="+mn-ea"/>
                <a:cs typeface="+mn-cs"/>
              </a:rPr>
              <a:t>Fiscal</a:t>
            </a:r>
          </a:p>
        </xdr:txBody>
      </xdr:sp>
    </xdr:grpSp>
    <xdr:clientData/>
  </xdr:twoCellAnchor>
  <xdr:twoCellAnchor>
    <xdr:from>
      <xdr:col>1</xdr:col>
      <xdr:colOff>521224</xdr:colOff>
      <xdr:row>36</xdr:row>
      <xdr:rowOff>57807</xdr:rowOff>
    </xdr:from>
    <xdr:to>
      <xdr:col>3</xdr:col>
      <xdr:colOff>426888</xdr:colOff>
      <xdr:row>40</xdr:row>
      <xdr:rowOff>29510</xdr:rowOff>
    </xdr:to>
    <xdr:grpSp>
      <xdr:nvGrpSpPr>
        <xdr:cNvPr id="47" name="Group 46">
          <a:hlinkClick xmlns:r="http://schemas.openxmlformats.org/officeDocument/2006/relationships" r:id="rId24"/>
          <a:extLst>
            <a:ext uri="{FF2B5EF4-FFF2-40B4-BE49-F238E27FC236}">
              <a16:creationId xmlns:a16="http://schemas.microsoft.com/office/drawing/2014/main" id="{B5E2581F-DEA1-45D0-95DC-BF4E5F51694A}"/>
            </a:ext>
          </a:extLst>
        </xdr:cNvPr>
        <xdr:cNvGrpSpPr/>
      </xdr:nvGrpSpPr>
      <xdr:grpSpPr>
        <a:xfrm>
          <a:off x="1130824" y="6572907"/>
          <a:ext cx="1124864" cy="695603"/>
          <a:chOff x="1130824" y="6641487"/>
          <a:chExt cx="1124864" cy="703223"/>
        </a:xfrm>
      </xdr:grpSpPr>
      <xdr:pic>
        <xdr:nvPicPr>
          <xdr:cNvPr id="48" name="Graphic 47" descr="Closed book outline">
            <a:extLst>
              <a:ext uri="{FF2B5EF4-FFF2-40B4-BE49-F238E27FC236}">
                <a16:creationId xmlns:a16="http://schemas.microsoft.com/office/drawing/2014/main" id="{CC3C5EDA-E9FA-5124-8011-A943829C00B8}"/>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1417845" y="6641487"/>
            <a:ext cx="508802" cy="516057"/>
          </a:xfrm>
          <a:prstGeom prst="rect">
            <a:avLst/>
          </a:prstGeom>
        </xdr:spPr>
      </xdr:pic>
      <xdr:sp macro="" textlink="#REF!">
        <xdr:nvSpPr>
          <xdr:cNvPr id="49" name="TextBox 48">
            <a:extLst>
              <a:ext uri="{FF2B5EF4-FFF2-40B4-BE49-F238E27FC236}">
                <a16:creationId xmlns:a16="http://schemas.microsoft.com/office/drawing/2014/main" id="{F6627ED2-6943-06FF-164D-88AE9106BC6E}"/>
              </a:ext>
            </a:extLst>
          </xdr:cNvPr>
          <xdr:cNvSpPr txBox="1"/>
        </xdr:nvSpPr>
        <xdr:spPr>
          <a:xfrm>
            <a:off x="1130824" y="7091965"/>
            <a:ext cx="1124864" cy="252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Summary</a:t>
            </a:r>
          </a:p>
        </xdr:txBody>
      </xdr:sp>
    </xdr:grpSp>
    <xdr:clientData/>
  </xdr:twoCellAnchor>
  <xdr:twoCellAnchor>
    <xdr:from>
      <xdr:col>4</xdr:col>
      <xdr:colOff>180974</xdr:colOff>
      <xdr:row>33</xdr:row>
      <xdr:rowOff>47625</xdr:rowOff>
    </xdr:from>
    <xdr:to>
      <xdr:col>16</xdr:col>
      <xdr:colOff>295276</xdr:colOff>
      <xdr:row>42</xdr:row>
      <xdr:rowOff>123825</xdr:rowOff>
    </xdr:to>
    <xdr:sp macro="" textlink="">
      <xdr:nvSpPr>
        <xdr:cNvPr id="51" name="Rectangle: Rounded Corners 50">
          <a:extLst>
            <a:ext uri="{FF2B5EF4-FFF2-40B4-BE49-F238E27FC236}">
              <a16:creationId xmlns:a16="http://schemas.microsoft.com/office/drawing/2014/main" id="{7AF17B2E-1586-3BFE-0070-2A016700F19F}"/>
            </a:ext>
          </a:extLst>
        </xdr:cNvPr>
        <xdr:cNvSpPr/>
      </xdr:nvSpPr>
      <xdr:spPr>
        <a:xfrm>
          <a:off x="2619374" y="6019800"/>
          <a:ext cx="7429502" cy="1704975"/>
        </a:xfrm>
        <a:prstGeom prst="roundRect">
          <a:avLst>
            <a:gd name="adj" fmla="val 7394"/>
          </a:avLst>
        </a:prstGeom>
        <a:gradFill>
          <a:gsLst>
            <a:gs pos="0">
              <a:srgbClr val="323687"/>
            </a:gs>
            <a:gs pos="88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editAs="oneCell">
    <xdr:from>
      <xdr:col>4</xdr:col>
      <xdr:colOff>233079</xdr:colOff>
      <xdr:row>4</xdr:row>
      <xdr:rowOff>144781</xdr:rowOff>
    </xdr:from>
    <xdr:to>
      <xdr:col>22</xdr:col>
      <xdr:colOff>17928</xdr:colOff>
      <xdr:row>11</xdr:row>
      <xdr:rowOff>17929</xdr:rowOff>
    </xdr:to>
    <mc:AlternateContent xmlns:mc="http://schemas.openxmlformats.org/markup-compatibility/2006" xmlns:a14="http://schemas.microsoft.com/office/drawing/2010/main">
      <mc:Choice Requires="a14">
        <xdr:graphicFrame macro="">
          <xdr:nvGraphicFramePr>
            <xdr:cNvPr id="55" name="Year 6">
              <a:extLst>
                <a:ext uri="{FF2B5EF4-FFF2-40B4-BE49-F238E27FC236}">
                  <a16:creationId xmlns:a16="http://schemas.microsoft.com/office/drawing/2014/main" id="{A94386F5-7789-4745-AB49-26EF2487CACE}"/>
                </a:ext>
              </a:extLst>
            </xdr:cNvPr>
            <xdr:cNvGraphicFramePr/>
          </xdr:nvGraphicFramePr>
          <xdr:xfrm>
            <a:off x="0" y="0"/>
            <a:ext cx="0" cy="0"/>
          </xdr:xfrm>
          <a:graphic>
            <a:graphicData uri="http://schemas.microsoft.com/office/drawing/2010/slicer">
              <sle:slicer xmlns:sle="http://schemas.microsoft.com/office/drawing/2010/slicer" name="Year 6"/>
            </a:graphicData>
          </a:graphic>
        </xdr:graphicFrame>
      </mc:Choice>
      <mc:Fallback xmlns="">
        <xdr:sp macro="" textlink="">
          <xdr:nvSpPr>
            <xdr:cNvPr id="0" name=""/>
            <xdr:cNvSpPr>
              <a:spLocks noTextEdit="1"/>
            </xdr:cNvSpPr>
          </xdr:nvSpPr>
          <xdr:spPr>
            <a:xfrm>
              <a:off x="2671479" y="868681"/>
              <a:ext cx="10757649" cy="11399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247649</xdr:colOff>
      <xdr:row>13</xdr:row>
      <xdr:rowOff>95250</xdr:rowOff>
    </xdr:from>
    <xdr:to>
      <xdr:col>22</xdr:col>
      <xdr:colOff>104774</xdr:colOff>
      <xdr:row>32</xdr:row>
      <xdr:rowOff>9525</xdr:rowOff>
    </xdr:to>
    <xdr:graphicFrame macro="">
      <xdr:nvGraphicFramePr>
        <xdr:cNvPr id="68" name="Chart 67">
          <a:extLst>
            <a:ext uri="{FF2B5EF4-FFF2-40B4-BE49-F238E27FC236}">
              <a16:creationId xmlns:a16="http://schemas.microsoft.com/office/drawing/2014/main" id="{5E6E86EA-FAF8-44B4-991C-B8DD9A076B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4</xdr:col>
      <xdr:colOff>219075</xdr:colOff>
      <xdr:row>32</xdr:row>
      <xdr:rowOff>161925</xdr:rowOff>
    </xdr:from>
    <xdr:to>
      <xdr:col>16</xdr:col>
      <xdr:colOff>304799</xdr:colOff>
      <xdr:row>42</xdr:row>
      <xdr:rowOff>114300</xdr:rowOff>
    </xdr:to>
    <xdr:graphicFrame macro="">
      <xdr:nvGraphicFramePr>
        <xdr:cNvPr id="69" name="Chart 68">
          <a:extLst>
            <a:ext uri="{FF2B5EF4-FFF2-40B4-BE49-F238E27FC236}">
              <a16:creationId xmlns:a16="http://schemas.microsoft.com/office/drawing/2014/main" id="{35A298F5-FA0F-4840-BF1B-F1B5BD2BC6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16</xdr:col>
      <xdr:colOff>409574</xdr:colOff>
      <xdr:row>33</xdr:row>
      <xdr:rowOff>38100</xdr:rowOff>
    </xdr:from>
    <xdr:to>
      <xdr:col>22</xdr:col>
      <xdr:colOff>180975</xdr:colOff>
      <xdr:row>42</xdr:row>
      <xdr:rowOff>114300</xdr:rowOff>
    </xdr:to>
    <xdr:sp macro="" textlink="">
      <xdr:nvSpPr>
        <xdr:cNvPr id="70" name="Rectangle: Rounded Corners 69">
          <a:extLst>
            <a:ext uri="{FF2B5EF4-FFF2-40B4-BE49-F238E27FC236}">
              <a16:creationId xmlns:a16="http://schemas.microsoft.com/office/drawing/2014/main" id="{22A7B9D0-00A9-A2FD-6BD0-281D62883AF1}"/>
            </a:ext>
          </a:extLst>
        </xdr:cNvPr>
        <xdr:cNvSpPr/>
      </xdr:nvSpPr>
      <xdr:spPr>
        <a:xfrm>
          <a:off x="10163174" y="6010275"/>
          <a:ext cx="3429001" cy="1704975"/>
        </a:xfrm>
        <a:prstGeom prst="roundRect">
          <a:avLst>
            <a:gd name="adj" fmla="val 7394"/>
          </a:avLst>
        </a:prstGeom>
        <a:gradFill>
          <a:gsLst>
            <a:gs pos="0">
              <a:srgbClr val="323687"/>
            </a:gs>
            <a:gs pos="88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16</xdr:col>
      <xdr:colOff>561974</xdr:colOff>
      <xdr:row>33</xdr:row>
      <xdr:rowOff>104775</xdr:rowOff>
    </xdr:from>
    <xdr:to>
      <xdr:col>19</xdr:col>
      <xdr:colOff>552449</xdr:colOff>
      <xdr:row>37</xdr:row>
      <xdr:rowOff>57150</xdr:rowOff>
    </xdr:to>
    <xdr:sp macro="" textlink="">
      <xdr:nvSpPr>
        <xdr:cNvPr id="71" name="TextBox 70">
          <a:extLst>
            <a:ext uri="{FF2B5EF4-FFF2-40B4-BE49-F238E27FC236}">
              <a16:creationId xmlns:a16="http://schemas.microsoft.com/office/drawing/2014/main" id="{61C13385-AC2A-4FD5-B3A0-71AB6BF7910D}"/>
            </a:ext>
          </a:extLst>
        </xdr:cNvPr>
        <xdr:cNvSpPr txBox="1"/>
      </xdr:nvSpPr>
      <xdr:spPr>
        <a:xfrm>
          <a:off x="10315574" y="6076950"/>
          <a:ext cx="1819275" cy="676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a:solidFill>
                <a:schemeClr val="bg1"/>
              </a:solidFill>
            </a:rPr>
            <a:t>Public Debt:</a:t>
          </a:r>
        </a:p>
      </xdr:txBody>
    </xdr:sp>
    <xdr:clientData/>
  </xdr:twoCellAnchor>
  <xdr:twoCellAnchor>
    <xdr:from>
      <xdr:col>17</xdr:col>
      <xdr:colOff>371474</xdr:colOff>
      <xdr:row>37</xdr:row>
      <xdr:rowOff>76200</xdr:rowOff>
    </xdr:from>
    <xdr:to>
      <xdr:col>20</xdr:col>
      <xdr:colOff>38099</xdr:colOff>
      <xdr:row>41</xdr:row>
      <xdr:rowOff>28575</xdr:rowOff>
    </xdr:to>
    <xdr:sp macro="" textlink="">
      <xdr:nvSpPr>
        <xdr:cNvPr id="72" name="TextBox 71">
          <a:extLst>
            <a:ext uri="{FF2B5EF4-FFF2-40B4-BE49-F238E27FC236}">
              <a16:creationId xmlns:a16="http://schemas.microsoft.com/office/drawing/2014/main" id="{5DBE8B79-6FE4-03A6-7C8D-55B7DEF6878C}"/>
            </a:ext>
          </a:extLst>
        </xdr:cNvPr>
        <xdr:cNvSpPr txBox="1"/>
      </xdr:nvSpPr>
      <xdr:spPr>
        <a:xfrm>
          <a:off x="10734674" y="6772275"/>
          <a:ext cx="1495425" cy="676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a:solidFill>
                <a:schemeClr val="bg1"/>
              </a:solidFill>
            </a:rPr>
            <a:t>Taxation:</a:t>
          </a:r>
        </a:p>
      </xdr:txBody>
    </xdr:sp>
    <xdr:clientData/>
  </xdr:twoCellAnchor>
  <xdr:twoCellAnchor>
    <xdr:from>
      <xdr:col>19</xdr:col>
      <xdr:colOff>514349</xdr:colOff>
      <xdr:row>33</xdr:row>
      <xdr:rowOff>95250</xdr:rowOff>
    </xdr:from>
    <xdr:to>
      <xdr:col>22</xdr:col>
      <xdr:colOff>504824</xdr:colOff>
      <xdr:row>37</xdr:row>
      <xdr:rowOff>47625</xdr:rowOff>
    </xdr:to>
    <xdr:sp macro="" textlink="Processing!BY4">
      <xdr:nvSpPr>
        <xdr:cNvPr id="73" name="TextBox 72">
          <a:extLst>
            <a:ext uri="{FF2B5EF4-FFF2-40B4-BE49-F238E27FC236}">
              <a16:creationId xmlns:a16="http://schemas.microsoft.com/office/drawing/2014/main" id="{69351EA3-8156-23F9-1C00-8E8E6E0A69B5}"/>
            </a:ext>
          </a:extLst>
        </xdr:cNvPr>
        <xdr:cNvSpPr txBox="1"/>
      </xdr:nvSpPr>
      <xdr:spPr>
        <a:xfrm>
          <a:off x="12096749" y="6067425"/>
          <a:ext cx="1819275" cy="676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DA0B7EB0-D40C-451B-B16C-60E58AB9B479}" type="TxLink">
            <a:rPr lang="en-US" sz="3600" b="1" i="0" u="none" strike="noStrike">
              <a:solidFill>
                <a:srgbClr val="FFC000"/>
              </a:solidFill>
              <a:latin typeface="Aptos Narrow"/>
            </a:rPr>
            <a:pPr algn="l"/>
            <a:t>12.5</a:t>
          </a:fld>
          <a:endParaRPr lang="en-US" sz="6600" b="1">
            <a:solidFill>
              <a:srgbClr val="FFC000"/>
            </a:solidFill>
          </a:endParaRPr>
        </a:p>
      </xdr:txBody>
    </xdr:sp>
    <xdr:clientData/>
  </xdr:twoCellAnchor>
  <xdr:twoCellAnchor>
    <xdr:from>
      <xdr:col>19</xdr:col>
      <xdr:colOff>514349</xdr:colOff>
      <xdr:row>37</xdr:row>
      <xdr:rowOff>85725</xdr:rowOff>
    </xdr:from>
    <xdr:to>
      <xdr:col>22</xdr:col>
      <xdr:colOff>504824</xdr:colOff>
      <xdr:row>41</xdr:row>
      <xdr:rowOff>38100</xdr:rowOff>
    </xdr:to>
    <xdr:sp macro="" textlink="Processing!BY6">
      <xdr:nvSpPr>
        <xdr:cNvPr id="74" name="TextBox 73">
          <a:extLst>
            <a:ext uri="{FF2B5EF4-FFF2-40B4-BE49-F238E27FC236}">
              <a16:creationId xmlns:a16="http://schemas.microsoft.com/office/drawing/2014/main" id="{DBD7A156-44F9-F1AD-698D-10DFFE663DC1}"/>
            </a:ext>
          </a:extLst>
        </xdr:cNvPr>
        <xdr:cNvSpPr txBox="1"/>
      </xdr:nvSpPr>
      <xdr:spPr>
        <a:xfrm>
          <a:off x="12096749" y="6781800"/>
          <a:ext cx="1819275" cy="676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BF11F47-71F0-4272-9AF8-F60507161DFF}" type="TxLink">
            <a:rPr lang="en-US" sz="3600" b="1" i="0" u="none" strike="noStrike">
              <a:solidFill>
                <a:srgbClr val="00B050"/>
              </a:solidFill>
              <a:latin typeface="Aptos Narrow"/>
            </a:rPr>
            <a:pPr algn="l"/>
            <a:t>24</a:t>
          </a:fld>
          <a:endParaRPr lang="en-US" sz="23900" b="1">
            <a:solidFill>
              <a:srgbClr val="00B050"/>
            </a:solidFill>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464820</xdr:colOff>
      <xdr:row>1</xdr:row>
      <xdr:rowOff>83820</xdr:rowOff>
    </xdr:from>
    <xdr:to>
      <xdr:col>1</xdr:col>
      <xdr:colOff>495300</xdr:colOff>
      <xdr:row>3</xdr:row>
      <xdr:rowOff>53340</xdr:rowOff>
    </xdr:to>
    <xdr:sp macro="" textlink="">
      <xdr:nvSpPr>
        <xdr:cNvPr id="2" name="Rectangle 1">
          <a:extLst>
            <a:ext uri="{FF2B5EF4-FFF2-40B4-BE49-F238E27FC236}">
              <a16:creationId xmlns:a16="http://schemas.microsoft.com/office/drawing/2014/main" id="{C356F732-DB48-491D-B21A-D122D818A762}"/>
            </a:ext>
          </a:extLst>
        </xdr:cNvPr>
        <xdr:cNvSpPr/>
      </xdr:nvSpPr>
      <xdr:spPr>
        <a:xfrm>
          <a:off x="464820" y="266700"/>
          <a:ext cx="640080" cy="335280"/>
        </a:xfrm>
        <a:prstGeom prst="rect">
          <a:avLst/>
        </a:prstGeom>
        <a:solidFill>
          <a:srgbClr val="1214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392238</xdr:colOff>
      <xdr:row>0</xdr:row>
      <xdr:rowOff>167640</xdr:rowOff>
    </xdr:from>
    <xdr:to>
      <xdr:col>23</xdr:col>
      <xdr:colOff>156018</xdr:colOff>
      <xdr:row>45</xdr:row>
      <xdr:rowOff>53340</xdr:rowOff>
    </xdr:to>
    <xdr:sp macro="" textlink="">
      <xdr:nvSpPr>
        <xdr:cNvPr id="3" name="Rectangle: Rounded Corners 2">
          <a:extLst>
            <a:ext uri="{FF2B5EF4-FFF2-40B4-BE49-F238E27FC236}">
              <a16:creationId xmlns:a16="http://schemas.microsoft.com/office/drawing/2014/main" id="{9557E0E6-2BE1-4756-90FB-76C55A2223C0}"/>
            </a:ext>
          </a:extLst>
        </xdr:cNvPr>
        <xdr:cNvSpPr/>
      </xdr:nvSpPr>
      <xdr:spPr>
        <a:xfrm>
          <a:off x="392238" y="167640"/>
          <a:ext cx="13784580" cy="8115300"/>
        </a:xfrm>
        <a:prstGeom prst="roundRect">
          <a:avLst>
            <a:gd name="adj" fmla="val 6581"/>
          </a:avLst>
        </a:prstGeom>
        <a:gradFill flip="none" rotWithShape="1">
          <a:gsLst>
            <a:gs pos="0">
              <a:srgbClr val="1F2357"/>
            </a:gs>
            <a:gs pos="75000">
              <a:srgbClr val="10123B"/>
            </a:gs>
          </a:gsLst>
          <a:lin ang="8100000" scaled="1"/>
          <a:tileRect/>
        </a:gradFill>
        <a:ln w="9525">
          <a:gradFill flip="none" rotWithShape="1">
            <a:gsLst>
              <a:gs pos="0">
                <a:srgbClr val="4647A6"/>
              </a:gs>
              <a:gs pos="100000">
                <a:srgbClr val="333787"/>
              </a:gs>
            </a:gsLst>
            <a:lin ang="8100000" scaled="1"/>
            <a:tileRect/>
          </a:grad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ru-RU"/>
            <a:t> </a:t>
          </a:r>
        </a:p>
      </xdr:txBody>
    </xdr:sp>
    <xdr:clientData/>
  </xdr:twoCellAnchor>
  <xdr:twoCellAnchor>
    <xdr:from>
      <xdr:col>1</xdr:col>
      <xdr:colOff>116097</xdr:colOff>
      <xdr:row>2</xdr:row>
      <xdr:rowOff>100664</xdr:rowOff>
    </xdr:from>
    <xdr:to>
      <xdr:col>22</xdr:col>
      <xdr:colOff>458997</xdr:colOff>
      <xdr:row>43</xdr:row>
      <xdr:rowOff>99059</xdr:rowOff>
    </xdr:to>
    <xdr:sp macro="" textlink="">
      <xdr:nvSpPr>
        <xdr:cNvPr id="4" name="Rectangle: Rounded Corners 3">
          <a:extLst>
            <a:ext uri="{FF2B5EF4-FFF2-40B4-BE49-F238E27FC236}">
              <a16:creationId xmlns:a16="http://schemas.microsoft.com/office/drawing/2014/main" id="{F20E6BC4-F19B-4099-B2A4-D0DD2E413CEE}"/>
            </a:ext>
          </a:extLst>
        </xdr:cNvPr>
        <xdr:cNvSpPr/>
      </xdr:nvSpPr>
      <xdr:spPr>
        <a:xfrm>
          <a:off x="725697" y="466424"/>
          <a:ext cx="13144500" cy="7496475"/>
        </a:xfrm>
        <a:prstGeom prst="roundRect">
          <a:avLst>
            <a:gd name="adj" fmla="val 5042"/>
          </a:avLst>
        </a:prstGeom>
        <a:gradFill flip="none" rotWithShape="1">
          <a:gsLst>
            <a:gs pos="0">
              <a:srgbClr val="20245A"/>
            </a:gs>
            <a:gs pos="75000">
              <a:srgbClr val="10123B"/>
            </a:gs>
          </a:gsLst>
          <a:lin ang="8100000" scaled="1"/>
          <a:tileRect/>
        </a:gradFill>
        <a:ln w="9525">
          <a:gradFill flip="none" rotWithShape="1">
            <a:gsLst>
              <a:gs pos="0">
                <a:srgbClr val="B9C1FF"/>
              </a:gs>
              <a:gs pos="33000">
                <a:srgbClr val="3D4098"/>
              </a:gs>
              <a:gs pos="100000">
                <a:srgbClr val="333787"/>
              </a:gs>
            </a:gsLst>
            <a:lin ang="9000000" scaled="0"/>
            <a:tileRect/>
          </a:gradFill>
        </a:ln>
        <a:effectLst>
          <a:outerShdw blurRad="2540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99060</xdr:colOff>
      <xdr:row>4</xdr:row>
      <xdr:rowOff>23019</xdr:rowOff>
    </xdr:from>
    <xdr:to>
      <xdr:col>22</xdr:col>
      <xdr:colOff>183490</xdr:colOff>
      <xdr:row>11</xdr:row>
      <xdr:rowOff>125506</xdr:rowOff>
    </xdr:to>
    <xdr:sp macro="" textlink="">
      <xdr:nvSpPr>
        <xdr:cNvPr id="5" name="Rectangle: Rounded Corners 4">
          <a:extLst>
            <a:ext uri="{FF2B5EF4-FFF2-40B4-BE49-F238E27FC236}">
              <a16:creationId xmlns:a16="http://schemas.microsoft.com/office/drawing/2014/main" id="{DA39CE5D-1A41-4523-B0A8-638F83A768D7}"/>
            </a:ext>
          </a:extLst>
        </xdr:cNvPr>
        <xdr:cNvSpPr/>
      </xdr:nvSpPr>
      <xdr:spPr>
        <a:xfrm>
          <a:off x="2537460" y="754539"/>
          <a:ext cx="11057230" cy="1382647"/>
        </a:xfrm>
        <a:prstGeom prst="roundRect">
          <a:avLst>
            <a:gd name="adj" fmla="val 14979"/>
          </a:avLst>
        </a:prstGeom>
        <a:gradFill>
          <a:gsLst>
            <a:gs pos="97000">
              <a:srgbClr val="2C3076"/>
            </a:gs>
            <a:gs pos="5000">
              <a:srgbClr val="2C3076"/>
            </a:gs>
            <a:gs pos="0">
              <a:srgbClr val="323687"/>
            </a:gs>
            <a:gs pos="100000">
              <a:srgbClr val="22255C"/>
            </a:gs>
          </a:gsLst>
          <a:lin ang="108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132192</xdr:colOff>
      <xdr:row>13</xdr:row>
      <xdr:rowOff>22087</xdr:rowOff>
    </xdr:from>
    <xdr:to>
      <xdr:col>22</xdr:col>
      <xdr:colOff>152399</xdr:colOff>
      <xdr:row>24</xdr:row>
      <xdr:rowOff>76200</xdr:rowOff>
    </xdr:to>
    <xdr:sp macro="" textlink="">
      <xdr:nvSpPr>
        <xdr:cNvPr id="6" name="Rectangle: Rounded Corners 5">
          <a:extLst>
            <a:ext uri="{FF2B5EF4-FFF2-40B4-BE49-F238E27FC236}">
              <a16:creationId xmlns:a16="http://schemas.microsoft.com/office/drawing/2014/main" id="{BA8C1DFB-E12B-4CFD-8FF7-69A880CBAF98}"/>
            </a:ext>
          </a:extLst>
        </xdr:cNvPr>
        <xdr:cNvSpPr/>
      </xdr:nvSpPr>
      <xdr:spPr>
        <a:xfrm>
          <a:off x="2570592" y="2374762"/>
          <a:ext cx="10993007" cy="2044838"/>
        </a:xfrm>
        <a:prstGeom prst="roundRect">
          <a:avLst>
            <a:gd name="adj" fmla="val 7935"/>
          </a:avLst>
        </a:prstGeom>
        <a:gradFill>
          <a:gsLst>
            <a:gs pos="0">
              <a:srgbClr val="323687"/>
            </a:gs>
            <a:gs pos="75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435597</xdr:colOff>
      <xdr:row>7</xdr:row>
      <xdr:rowOff>161730</xdr:rowOff>
    </xdr:from>
    <xdr:to>
      <xdr:col>3</xdr:col>
      <xdr:colOff>498058</xdr:colOff>
      <xdr:row>42</xdr:row>
      <xdr:rowOff>38100</xdr:rowOff>
    </xdr:to>
    <xdr:sp macro="" textlink="">
      <xdr:nvSpPr>
        <xdr:cNvPr id="9" name="Rectangle: Rounded Corners 8">
          <a:extLst>
            <a:ext uri="{FF2B5EF4-FFF2-40B4-BE49-F238E27FC236}">
              <a16:creationId xmlns:a16="http://schemas.microsoft.com/office/drawing/2014/main" id="{EFE5AAF0-7F4D-47A5-8B83-67AF3675DB6B}"/>
            </a:ext>
          </a:extLst>
        </xdr:cNvPr>
        <xdr:cNvSpPr/>
      </xdr:nvSpPr>
      <xdr:spPr>
        <a:xfrm>
          <a:off x="1045197" y="1441890"/>
          <a:ext cx="1281661" cy="6277170"/>
        </a:xfrm>
        <a:prstGeom prst="roundRect">
          <a:avLst>
            <a:gd name="adj" fmla="val 18817"/>
          </a:avLst>
        </a:prstGeom>
        <a:gradFill>
          <a:gsLst>
            <a:gs pos="0">
              <a:srgbClr val="2E317C"/>
            </a:gs>
            <a:gs pos="23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500140</xdr:colOff>
      <xdr:row>8</xdr:row>
      <xdr:rowOff>90747</xdr:rowOff>
    </xdr:from>
    <xdr:to>
      <xdr:col>3</xdr:col>
      <xdr:colOff>405804</xdr:colOff>
      <xdr:row>12</xdr:row>
      <xdr:rowOff>1621</xdr:rowOff>
    </xdr:to>
    <xdr:grpSp>
      <xdr:nvGrpSpPr>
        <xdr:cNvPr id="10" name="Group 9">
          <a:hlinkClick xmlns:r="http://schemas.openxmlformats.org/officeDocument/2006/relationships" r:id="rId1"/>
          <a:extLst>
            <a:ext uri="{FF2B5EF4-FFF2-40B4-BE49-F238E27FC236}">
              <a16:creationId xmlns:a16="http://schemas.microsoft.com/office/drawing/2014/main" id="{DC049181-D9E3-41CE-B6E5-A92DFD086AEF}"/>
            </a:ext>
          </a:extLst>
        </xdr:cNvPr>
        <xdr:cNvGrpSpPr/>
      </xdr:nvGrpSpPr>
      <xdr:grpSpPr>
        <a:xfrm>
          <a:off x="1109740" y="1538547"/>
          <a:ext cx="1124864" cy="634774"/>
          <a:chOff x="1109740" y="1553787"/>
          <a:chExt cx="1124864" cy="642394"/>
        </a:xfrm>
      </xdr:grpSpPr>
      <xdr:pic>
        <xdr:nvPicPr>
          <xdr:cNvPr id="11" name="Graphic 10" descr="Home with solid fill">
            <a:extLst>
              <a:ext uri="{FF2B5EF4-FFF2-40B4-BE49-F238E27FC236}">
                <a16:creationId xmlns:a16="http://schemas.microsoft.com/office/drawing/2014/main" id="{150A9509-510F-71CE-51BE-9B9DA72B380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56113" y="1553787"/>
            <a:ext cx="426720" cy="426720"/>
          </a:xfrm>
          <a:prstGeom prst="rect">
            <a:avLst/>
          </a:prstGeom>
          <a:effectLst/>
        </xdr:spPr>
      </xdr:pic>
      <xdr:sp macro="" textlink="#REF!">
        <xdr:nvSpPr>
          <xdr:cNvPr id="12" name="TextBox 11">
            <a:extLst>
              <a:ext uri="{FF2B5EF4-FFF2-40B4-BE49-F238E27FC236}">
                <a16:creationId xmlns:a16="http://schemas.microsoft.com/office/drawing/2014/main" id="{86497DE4-F1BA-411E-AF89-1F2DD83B0427}"/>
              </a:ext>
            </a:extLst>
          </xdr:cNvPr>
          <xdr:cNvSpPr txBox="1"/>
        </xdr:nvSpPr>
        <xdr:spPr>
          <a:xfrm>
            <a:off x="1109740" y="1935244"/>
            <a:ext cx="1124864" cy="260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3D42D12-6D1C-4BD6-BF7A-FB3615575702}" type="TxLink">
              <a:rPr lang="en-US" sz="1400" b="0" i="0" u="none" strike="noStrike">
                <a:solidFill>
                  <a:srgbClr val="6372A4"/>
                </a:solidFill>
                <a:latin typeface="Aptos Narrow"/>
                <a:ea typeface="+mn-ea"/>
                <a:cs typeface="+mn-cs"/>
              </a:rPr>
              <a:pPr marL="0" indent="0" algn="ctr"/>
              <a:t>Dashboard</a:t>
            </a:fld>
            <a:endParaRPr lang="ru-RU" sz="1400" b="0" i="0" u="none" strike="noStrike">
              <a:solidFill>
                <a:srgbClr val="6372A4"/>
              </a:solidFill>
              <a:latin typeface="Aptos Narrow"/>
              <a:ea typeface="+mn-ea"/>
              <a:cs typeface="+mn-cs"/>
            </a:endParaRPr>
          </a:p>
        </xdr:txBody>
      </xdr:sp>
    </xdr:grpSp>
    <xdr:clientData/>
  </xdr:twoCellAnchor>
  <xdr:twoCellAnchor>
    <xdr:from>
      <xdr:col>14</xdr:col>
      <xdr:colOff>604780</xdr:colOff>
      <xdr:row>13</xdr:row>
      <xdr:rowOff>7620</xdr:rowOff>
    </xdr:from>
    <xdr:to>
      <xdr:col>16</xdr:col>
      <xdr:colOff>363532</xdr:colOff>
      <xdr:row>14</xdr:row>
      <xdr:rowOff>82906</xdr:rowOff>
    </xdr:to>
    <xdr:sp macro="" textlink="$C$60">
      <xdr:nvSpPr>
        <xdr:cNvPr id="13" name="TextBox 12">
          <a:extLst>
            <a:ext uri="{FF2B5EF4-FFF2-40B4-BE49-F238E27FC236}">
              <a16:creationId xmlns:a16="http://schemas.microsoft.com/office/drawing/2014/main" id="{153F52B8-EE26-4639-B340-4B1218198A8F}"/>
            </a:ext>
          </a:extLst>
        </xdr:cNvPr>
        <xdr:cNvSpPr txBox="1"/>
      </xdr:nvSpPr>
      <xdr:spPr>
        <a:xfrm>
          <a:off x="9139180" y="2385060"/>
          <a:ext cx="977952"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A33B9D-F834-4294-BE87-29F6752F0B43}" type="TxLink">
            <a:rPr lang="en-US" sz="1200" b="0" i="0" u="none" strike="noStrike">
              <a:solidFill>
                <a:schemeClr val="tx2">
                  <a:lumMod val="25000"/>
                  <a:lumOff val="75000"/>
                </a:schemeClr>
              </a:solidFill>
              <a:latin typeface="Aptos Narrow"/>
            </a:rPr>
            <a:pPr algn="ctr"/>
            <a:t> </a:t>
          </a:fld>
          <a:endParaRPr lang="ru-RU" sz="1600" b="0">
            <a:solidFill>
              <a:schemeClr val="tx2">
                <a:lumMod val="25000"/>
                <a:lumOff val="75000"/>
              </a:schemeClr>
            </a:solidFill>
          </a:endParaRPr>
        </a:p>
      </xdr:txBody>
    </xdr:sp>
    <xdr:clientData/>
  </xdr:twoCellAnchor>
  <xdr:twoCellAnchor>
    <xdr:from>
      <xdr:col>14</xdr:col>
      <xdr:colOff>604780</xdr:colOff>
      <xdr:row>14</xdr:row>
      <xdr:rowOff>63292</xdr:rowOff>
    </xdr:from>
    <xdr:to>
      <xdr:col>16</xdr:col>
      <xdr:colOff>363532</xdr:colOff>
      <xdr:row>15</xdr:row>
      <xdr:rowOff>164395</xdr:rowOff>
    </xdr:to>
    <xdr:sp macro="" textlink="$D$55">
      <xdr:nvSpPr>
        <xdr:cNvPr id="14" name="TextBox 13">
          <a:extLst>
            <a:ext uri="{FF2B5EF4-FFF2-40B4-BE49-F238E27FC236}">
              <a16:creationId xmlns:a16="http://schemas.microsoft.com/office/drawing/2014/main" id="{F1955BB5-12EA-47E1-ACB3-0DF80F5A79E3}"/>
            </a:ext>
          </a:extLst>
        </xdr:cNvPr>
        <xdr:cNvSpPr txBox="1"/>
      </xdr:nvSpPr>
      <xdr:spPr>
        <a:xfrm>
          <a:off x="9139180" y="2623612"/>
          <a:ext cx="977952" cy="28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C2A362-1984-4E0F-B2F1-1722CB1B7A1B}" type="TxLink">
            <a:rPr lang="en-US" sz="2400" b="0" i="0" u="none" strike="noStrike">
              <a:solidFill>
                <a:schemeClr val="bg1"/>
              </a:solidFill>
              <a:latin typeface="Aptos Narrow"/>
            </a:rPr>
            <a:pPr algn="ctr"/>
            <a:t> </a:t>
          </a:fld>
          <a:endParaRPr lang="ru-RU" sz="2400" b="0">
            <a:solidFill>
              <a:schemeClr val="bg1"/>
            </a:solidFill>
          </a:endParaRPr>
        </a:p>
      </xdr:txBody>
    </xdr:sp>
    <xdr:clientData/>
  </xdr:twoCellAnchor>
  <xdr:twoCellAnchor>
    <xdr:from>
      <xdr:col>7</xdr:col>
      <xdr:colOff>332740</xdr:colOff>
      <xdr:row>20</xdr:row>
      <xdr:rowOff>124968</xdr:rowOff>
    </xdr:from>
    <xdr:to>
      <xdr:col>13</xdr:col>
      <xdr:colOff>434341</xdr:colOff>
      <xdr:row>34</xdr:row>
      <xdr:rowOff>45720</xdr:rowOff>
    </xdr:to>
    <xdr:graphicFrame macro="">
      <xdr:nvGraphicFramePr>
        <xdr:cNvPr id="15" name="Chart 14" hidden="1">
          <a:extLst>
            <a:ext uri="{FF2B5EF4-FFF2-40B4-BE49-F238E27FC236}">
              <a16:creationId xmlns:a16="http://schemas.microsoft.com/office/drawing/2014/main" id="{B75EEF4F-B35F-440B-9BE2-CED0A1A5CA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392614</xdr:colOff>
      <xdr:row>25</xdr:row>
      <xdr:rowOff>63955</xdr:rowOff>
    </xdr:from>
    <xdr:to>
      <xdr:col>15</xdr:col>
      <xdr:colOff>404806</xdr:colOff>
      <xdr:row>29</xdr:row>
      <xdr:rowOff>127963</xdr:rowOff>
    </xdr:to>
    <xdr:sp macro="" textlink="$D$76">
      <xdr:nvSpPr>
        <xdr:cNvPr id="16" name="TextBox 15">
          <a:extLst>
            <a:ext uri="{FF2B5EF4-FFF2-40B4-BE49-F238E27FC236}">
              <a16:creationId xmlns:a16="http://schemas.microsoft.com/office/drawing/2014/main" id="{5671FBFA-6B60-4897-8885-F39D42F720FE}"/>
            </a:ext>
          </a:extLst>
        </xdr:cNvPr>
        <xdr:cNvSpPr txBox="1"/>
      </xdr:nvSpPr>
      <xdr:spPr>
        <a:xfrm>
          <a:off x="8927014" y="4635955"/>
          <a:ext cx="621792" cy="795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1AC67DD-5614-4ED2-B1AD-9682E26BEFA2}" type="TxLink">
            <a:rPr lang="en-US" sz="800" b="0" i="0" u="none" strike="noStrike">
              <a:solidFill>
                <a:schemeClr val="tx2">
                  <a:lumMod val="25000"/>
                  <a:lumOff val="75000"/>
                </a:schemeClr>
              </a:solidFill>
              <a:latin typeface="Aptos Narrow"/>
            </a:rPr>
            <a:pPr algn="l"/>
            <a:t> </a:t>
          </a:fld>
          <a:endParaRPr lang="ru-RU" sz="800" b="0">
            <a:solidFill>
              <a:schemeClr val="tx2">
                <a:lumMod val="25000"/>
                <a:lumOff val="75000"/>
              </a:schemeClr>
            </a:solidFill>
          </a:endParaRPr>
        </a:p>
      </xdr:txBody>
    </xdr:sp>
    <xdr:clientData/>
  </xdr:twoCellAnchor>
  <xdr:twoCellAnchor>
    <xdr:from>
      <xdr:col>19</xdr:col>
      <xdr:colOff>34668</xdr:colOff>
      <xdr:row>25</xdr:row>
      <xdr:rowOff>48666</xdr:rowOff>
    </xdr:from>
    <xdr:to>
      <xdr:col>20</xdr:col>
      <xdr:colOff>447672</xdr:colOff>
      <xdr:row>26</xdr:row>
      <xdr:rowOff>123952</xdr:rowOff>
    </xdr:to>
    <xdr:sp macro="" textlink="$A$54">
      <xdr:nvSpPr>
        <xdr:cNvPr id="18" name="TextBox 17">
          <a:extLst>
            <a:ext uri="{FF2B5EF4-FFF2-40B4-BE49-F238E27FC236}">
              <a16:creationId xmlns:a16="http://schemas.microsoft.com/office/drawing/2014/main" id="{2EAA6FFE-1134-41D9-A541-9A2C3C59FF7E}"/>
            </a:ext>
          </a:extLst>
        </xdr:cNvPr>
        <xdr:cNvSpPr txBox="1"/>
      </xdr:nvSpPr>
      <xdr:spPr>
        <a:xfrm>
          <a:off x="11617068" y="4620666"/>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4132016-B00B-4926-87EE-A0F664231BBC}" type="TxLink">
            <a:rPr lang="en-US" sz="1400" b="0" i="0" u="none" strike="noStrike">
              <a:solidFill>
                <a:schemeClr val="tx2">
                  <a:lumMod val="25000"/>
                  <a:lumOff val="75000"/>
                </a:schemeClr>
              </a:solidFill>
              <a:latin typeface="Aptos Narrow"/>
            </a:rPr>
            <a:pPr algn="l"/>
            <a:t> </a:t>
          </a:fld>
          <a:endParaRPr lang="ru-RU" sz="1600">
            <a:solidFill>
              <a:schemeClr val="tx2">
                <a:lumMod val="25000"/>
                <a:lumOff val="75000"/>
              </a:schemeClr>
            </a:solidFill>
          </a:endParaRPr>
        </a:p>
      </xdr:txBody>
    </xdr:sp>
    <xdr:clientData/>
  </xdr:twoCellAnchor>
  <xdr:twoCellAnchor>
    <xdr:from>
      <xdr:col>19</xdr:col>
      <xdr:colOff>34668</xdr:colOff>
      <xdr:row>27</xdr:row>
      <xdr:rowOff>132443</xdr:rowOff>
    </xdr:from>
    <xdr:to>
      <xdr:col>20</xdr:col>
      <xdr:colOff>447672</xdr:colOff>
      <xdr:row>29</xdr:row>
      <xdr:rowOff>24849</xdr:rowOff>
    </xdr:to>
    <xdr:sp macro="" textlink="$A$55">
      <xdr:nvSpPr>
        <xdr:cNvPr id="19" name="TextBox 18">
          <a:extLst>
            <a:ext uri="{FF2B5EF4-FFF2-40B4-BE49-F238E27FC236}">
              <a16:creationId xmlns:a16="http://schemas.microsoft.com/office/drawing/2014/main" id="{807A25BF-403F-4957-ADBB-1594D354D0DE}"/>
            </a:ext>
          </a:extLst>
        </xdr:cNvPr>
        <xdr:cNvSpPr txBox="1"/>
      </xdr:nvSpPr>
      <xdr:spPr>
        <a:xfrm>
          <a:off x="11617068" y="5070203"/>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800EC6F-4F9A-4655-982C-0D43CE89D16F}" type="TxLink">
            <a:rPr lang="en-US" sz="1400" b="0" i="0" u="none" strike="noStrike">
              <a:solidFill>
                <a:schemeClr val="tx2">
                  <a:lumMod val="25000"/>
                  <a:lumOff val="75000"/>
                </a:schemeClr>
              </a:solidFill>
              <a:latin typeface="Aptos Narrow"/>
            </a:rPr>
            <a:pPr algn="l"/>
            <a:t> </a:t>
          </a:fld>
          <a:endParaRPr lang="ru-RU" sz="2000">
            <a:solidFill>
              <a:schemeClr val="tx2">
                <a:lumMod val="25000"/>
                <a:lumOff val="75000"/>
              </a:schemeClr>
            </a:solidFill>
          </a:endParaRPr>
        </a:p>
      </xdr:txBody>
    </xdr:sp>
    <xdr:clientData/>
  </xdr:twoCellAnchor>
  <xdr:twoCellAnchor>
    <xdr:from>
      <xdr:col>19</xdr:col>
      <xdr:colOff>34668</xdr:colOff>
      <xdr:row>30</xdr:row>
      <xdr:rowOff>33340</xdr:rowOff>
    </xdr:from>
    <xdr:to>
      <xdr:col>20</xdr:col>
      <xdr:colOff>447672</xdr:colOff>
      <xdr:row>31</xdr:row>
      <xdr:rowOff>108626</xdr:rowOff>
    </xdr:to>
    <xdr:sp macro="" textlink="$A$56">
      <xdr:nvSpPr>
        <xdr:cNvPr id="20" name="TextBox 19">
          <a:extLst>
            <a:ext uri="{FF2B5EF4-FFF2-40B4-BE49-F238E27FC236}">
              <a16:creationId xmlns:a16="http://schemas.microsoft.com/office/drawing/2014/main" id="{F07EB500-0E71-437D-A1B8-82CF69504775}"/>
            </a:ext>
          </a:extLst>
        </xdr:cNvPr>
        <xdr:cNvSpPr txBox="1"/>
      </xdr:nvSpPr>
      <xdr:spPr>
        <a:xfrm>
          <a:off x="11617068" y="5519740"/>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8C18B09-F15C-49A8-BDC9-19B94F66EBF7}" type="TxLink">
            <a:rPr lang="en-US" sz="1400" b="0" i="0" u="none" strike="noStrike">
              <a:solidFill>
                <a:schemeClr val="tx2">
                  <a:lumMod val="25000"/>
                  <a:lumOff val="75000"/>
                </a:schemeClr>
              </a:solidFill>
              <a:latin typeface="Aptos Narrow"/>
              <a:ea typeface="+mn-ea"/>
              <a:cs typeface="+mn-cs"/>
            </a:rPr>
            <a:pPr marL="0" indent="0" algn="l"/>
            <a:t> </a:t>
          </a:fld>
          <a:endParaRPr lang="ru-RU" sz="1400" b="0" i="0" u="none" strike="noStrike">
            <a:solidFill>
              <a:schemeClr val="tx2">
                <a:lumMod val="25000"/>
                <a:lumOff val="75000"/>
              </a:schemeClr>
            </a:solidFill>
            <a:latin typeface="Aptos Narrow"/>
            <a:ea typeface="+mn-ea"/>
            <a:cs typeface="+mn-cs"/>
          </a:endParaRPr>
        </a:p>
      </xdr:txBody>
    </xdr:sp>
    <xdr:clientData/>
  </xdr:twoCellAnchor>
  <xdr:twoCellAnchor>
    <xdr:from>
      <xdr:col>20</xdr:col>
      <xdr:colOff>263268</xdr:colOff>
      <xdr:row>25</xdr:row>
      <xdr:rowOff>48666</xdr:rowOff>
    </xdr:from>
    <xdr:to>
      <xdr:col>22</xdr:col>
      <xdr:colOff>66672</xdr:colOff>
      <xdr:row>26</xdr:row>
      <xdr:rowOff>123952</xdr:rowOff>
    </xdr:to>
    <xdr:sp macro="" textlink="$B$54">
      <xdr:nvSpPr>
        <xdr:cNvPr id="22" name="TextBox 21">
          <a:extLst>
            <a:ext uri="{FF2B5EF4-FFF2-40B4-BE49-F238E27FC236}">
              <a16:creationId xmlns:a16="http://schemas.microsoft.com/office/drawing/2014/main" id="{88FEDDFB-BCAB-4758-977F-85E2C904D224}"/>
            </a:ext>
          </a:extLst>
        </xdr:cNvPr>
        <xdr:cNvSpPr txBox="1"/>
      </xdr:nvSpPr>
      <xdr:spPr>
        <a:xfrm>
          <a:off x="12455268" y="4620666"/>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3204228-334F-480A-BAD4-3079A2B6170F}" type="TxLink">
            <a:rPr lang="en-US" sz="1400" b="0" i="0" u="none" strike="noStrike">
              <a:solidFill>
                <a:schemeClr val="tx2">
                  <a:lumMod val="25000"/>
                  <a:lumOff val="75000"/>
                </a:schemeClr>
              </a:solidFill>
              <a:latin typeface="Aptos Narrow"/>
            </a:rPr>
            <a:pPr algn="r"/>
            <a:t> </a:t>
          </a:fld>
          <a:endParaRPr lang="ru-RU" sz="2000">
            <a:solidFill>
              <a:schemeClr val="tx2">
                <a:lumMod val="25000"/>
                <a:lumOff val="75000"/>
              </a:schemeClr>
            </a:solidFill>
          </a:endParaRPr>
        </a:p>
      </xdr:txBody>
    </xdr:sp>
    <xdr:clientData/>
  </xdr:twoCellAnchor>
  <xdr:twoCellAnchor>
    <xdr:from>
      <xdr:col>20</xdr:col>
      <xdr:colOff>263268</xdr:colOff>
      <xdr:row>27</xdr:row>
      <xdr:rowOff>132443</xdr:rowOff>
    </xdr:from>
    <xdr:to>
      <xdr:col>22</xdr:col>
      <xdr:colOff>66672</xdr:colOff>
      <xdr:row>29</xdr:row>
      <xdr:rowOff>24849</xdr:rowOff>
    </xdr:to>
    <xdr:sp macro="" textlink="$B$55">
      <xdr:nvSpPr>
        <xdr:cNvPr id="23" name="TextBox 22">
          <a:extLst>
            <a:ext uri="{FF2B5EF4-FFF2-40B4-BE49-F238E27FC236}">
              <a16:creationId xmlns:a16="http://schemas.microsoft.com/office/drawing/2014/main" id="{8F8146A1-2CEB-4F4D-804C-05163162B0CF}"/>
            </a:ext>
          </a:extLst>
        </xdr:cNvPr>
        <xdr:cNvSpPr txBox="1"/>
      </xdr:nvSpPr>
      <xdr:spPr>
        <a:xfrm>
          <a:off x="12455268" y="5070203"/>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E9644FEF-9BA8-41DF-881D-E8A1244A7CAE}" type="TxLink">
            <a:rPr lang="en-US" sz="1400" b="0" i="0" u="none" strike="noStrike">
              <a:solidFill>
                <a:schemeClr val="tx2">
                  <a:lumMod val="25000"/>
                  <a:lumOff val="75000"/>
                </a:schemeClr>
              </a:solidFill>
              <a:latin typeface="Aptos Narrow"/>
            </a:rPr>
            <a:pPr algn="r"/>
            <a:t> </a:t>
          </a:fld>
          <a:endParaRPr lang="ru-RU" sz="2800">
            <a:solidFill>
              <a:schemeClr val="tx2">
                <a:lumMod val="25000"/>
                <a:lumOff val="75000"/>
              </a:schemeClr>
            </a:solidFill>
          </a:endParaRPr>
        </a:p>
      </xdr:txBody>
    </xdr:sp>
    <xdr:clientData/>
  </xdr:twoCellAnchor>
  <xdr:twoCellAnchor>
    <xdr:from>
      <xdr:col>20</xdr:col>
      <xdr:colOff>328582</xdr:colOff>
      <xdr:row>32</xdr:row>
      <xdr:rowOff>109539</xdr:rowOff>
    </xdr:from>
    <xdr:to>
      <xdr:col>22</xdr:col>
      <xdr:colOff>131986</xdr:colOff>
      <xdr:row>33</xdr:row>
      <xdr:rowOff>184825</xdr:rowOff>
    </xdr:to>
    <xdr:sp macro="" textlink="$B$56">
      <xdr:nvSpPr>
        <xdr:cNvPr id="24" name="TextBox 23">
          <a:extLst>
            <a:ext uri="{FF2B5EF4-FFF2-40B4-BE49-F238E27FC236}">
              <a16:creationId xmlns:a16="http://schemas.microsoft.com/office/drawing/2014/main" id="{0F7FC8FF-418C-4FB6-AE55-44FE6ADCCCBF}"/>
            </a:ext>
          </a:extLst>
        </xdr:cNvPr>
        <xdr:cNvSpPr txBox="1"/>
      </xdr:nvSpPr>
      <xdr:spPr>
        <a:xfrm>
          <a:off x="12520582" y="5961699"/>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8F9D2ED-7794-4CAD-A140-112658E75D64}" type="TxLink">
            <a:rPr lang="en-US" sz="1400" b="0" i="0" u="none" strike="noStrike">
              <a:solidFill>
                <a:schemeClr val="tx2">
                  <a:lumMod val="25000"/>
                  <a:lumOff val="75000"/>
                </a:schemeClr>
              </a:solidFill>
              <a:latin typeface="Aptos Narrow"/>
              <a:ea typeface="+mn-ea"/>
              <a:cs typeface="+mn-cs"/>
            </a:rPr>
            <a:pPr marL="0" indent="0" algn="r"/>
            <a:t>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20</xdr:col>
      <xdr:colOff>263268</xdr:colOff>
      <xdr:row>32</xdr:row>
      <xdr:rowOff>117117</xdr:rowOff>
    </xdr:from>
    <xdr:to>
      <xdr:col>22</xdr:col>
      <xdr:colOff>66672</xdr:colOff>
      <xdr:row>34</xdr:row>
      <xdr:rowOff>9523</xdr:rowOff>
    </xdr:to>
    <xdr:sp macro="" textlink="$B$57">
      <xdr:nvSpPr>
        <xdr:cNvPr id="25" name="TextBox 24">
          <a:extLst>
            <a:ext uri="{FF2B5EF4-FFF2-40B4-BE49-F238E27FC236}">
              <a16:creationId xmlns:a16="http://schemas.microsoft.com/office/drawing/2014/main" id="{612B15EF-4A3D-4C44-9203-943CE69EE60C}"/>
            </a:ext>
          </a:extLst>
        </xdr:cNvPr>
        <xdr:cNvSpPr txBox="1"/>
      </xdr:nvSpPr>
      <xdr:spPr>
        <a:xfrm>
          <a:off x="12455268" y="596927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34374E5-FE8C-4C24-ABA4-7352FE20634F}" type="TxLink">
            <a:rPr lang="en-US" sz="1400" b="0" i="0" u="none" strike="noStrike">
              <a:solidFill>
                <a:schemeClr val="tx2">
                  <a:lumMod val="25000"/>
                  <a:lumOff val="75000"/>
                </a:schemeClr>
              </a:solidFill>
              <a:latin typeface="Aptos Narrow"/>
              <a:ea typeface="+mn-ea"/>
              <a:cs typeface="+mn-cs"/>
            </a:rPr>
            <a:pPr marL="0" indent="0" algn="r"/>
            <a:t>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2</xdr:col>
      <xdr:colOff>251460</xdr:colOff>
      <xdr:row>3</xdr:row>
      <xdr:rowOff>175260</xdr:rowOff>
    </xdr:from>
    <xdr:to>
      <xdr:col>4</xdr:col>
      <xdr:colOff>10212</xdr:colOff>
      <xdr:row>6</xdr:row>
      <xdr:rowOff>137160</xdr:rowOff>
    </xdr:to>
    <xdr:sp macro="" textlink="#REF!">
      <xdr:nvSpPr>
        <xdr:cNvPr id="26" name="TextBox 25">
          <a:extLst>
            <a:ext uri="{FF2B5EF4-FFF2-40B4-BE49-F238E27FC236}">
              <a16:creationId xmlns:a16="http://schemas.microsoft.com/office/drawing/2014/main" id="{D93A7B39-578D-41F8-B5C1-D4D4120B24A0}"/>
            </a:ext>
          </a:extLst>
        </xdr:cNvPr>
        <xdr:cNvSpPr txBox="1"/>
      </xdr:nvSpPr>
      <xdr:spPr>
        <a:xfrm>
          <a:off x="1470660" y="723900"/>
          <a:ext cx="977952" cy="510540"/>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chemeClr val="tx2">
                  <a:lumMod val="10000"/>
                  <a:lumOff val="90000"/>
                </a:schemeClr>
              </a:solidFill>
              <a:latin typeface="Aptos Narrow"/>
              <a:ea typeface="+mn-ea"/>
              <a:cs typeface="+mn-cs"/>
            </a:rPr>
            <a:t>Macro Economics</a:t>
          </a:r>
          <a:endParaRPr lang="ru-RU" sz="1200" b="0" i="0" u="none" strike="noStrike">
            <a:solidFill>
              <a:schemeClr val="tx2">
                <a:lumMod val="10000"/>
                <a:lumOff val="90000"/>
              </a:schemeClr>
            </a:solidFill>
            <a:latin typeface="Aptos Narrow"/>
            <a:ea typeface="+mn-ea"/>
            <a:cs typeface="+mn-cs"/>
          </a:endParaRPr>
        </a:p>
      </xdr:txBody>
    </xdr:sp>
    <xdr:clientData/>
  </xdr:twoCellAnchor>
  <xdr:twoCellAnchor>
    <xdr:from>
      <xdr:col>2</xdr:col>
      <xdr:colOff>266700</xdr:colOff>
      <xdr:row>4</xdr:row>
      <xdr:rowOff>64770</xdr:rowOff>
    </xdr:from>
    <xdr:to>
      <xdr:col>2</xdr:col>
      <xdr:colOff>266700</xdr:colOff>
      <xdr:row>6</xdr:row>
      <xdr:rowOff>64770</xdr:rowOff>
    </xdr:to>
    <xdr:cxnSp macro="">
      <xdr:nvCxnSpPr>
        <xdr:cNvPr id="27" name="Straight Connector 26">
          <a:extLst>
            <a:ext uri="{FF2B5EF4-FFF2-40B4-BE49-F238E27FC236}">
              <a16:creationId xmlns:a16="http://schemas.microsoft.com/office/drawing/2014/main" id="{DFB788EC-0A38-48C4-9D09-BF1BFB20CC92}"/>
            </a:ext>
          </a:extLst>
        </xdr:cNvPr>
        <xdr:cNvCxnSpPr/>
      </xdr:nvCxnSpPr>
      <xdr:spPr>
        <a:xfrm>
          <a:off x="1485900" y="796290"/>
          <a:ext cx="0" cy="365760"/>
        </a:xfrm>
        <a:prstGeom prst="line">
          <a:avLst/>
        </a:prstGeom>
        <a:ln w="9525">
          <a:solidFill>
            <a:schemeClr val="tx2">
              <a:lumMod val="25000"/>
              <a:lumOff val="75000"/>
            </a:schemeClr>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xdr:col>
      <xdr:colOff>385482</xdr:colOff>
      <xdr:row>4</xdr:row>
      <xdr:rowOff>116542</xdr:rowOff>
    </xdr:from>
    <xdr:to>
      <xdr:col>2</xdr:col>
      <xdr:colOff>215153</xdr:colOff>
      <xdr:row>6</xdr:row>
      <xdr:rowOff>18932</xdr:rowOff>
    </xdr:to>
    <xdr:pic>
      <xdr:nvPicPr>
        <xdr:cNvPr id="28" name="Picture 27">
          <a:extLst>
            <a:ext uri="{FF2B5EF4-FFF2-40B4-BE49-F238E27FC236}">
              <a16:creationId xmlns:a16="http://schemas.microsoft.com/office/drawing/2014/main" id="{935888A6-901F-449E-8DF1-C1D5F2443CC3}"/>
            </a:ext>
          </a:extLst>
        </xdr:cNvPr>
        <xdr:cNvPicPr>
          <a:picLocks noChangeAspect="1"/>
        </xdr:cNvPicPr>
      </xdr:nvPicPr>
      <xdr:blipFill>
        <a:blip xmlns:r="http://schemas.openxmlformats.org/officeDocument/2006/relationships" r:embed="rId5"/>
        <a:stretch>
          <a:fillRect/>
        </a:stretch>
      </xdr:blipFill>
      <xdr:spPr>
        <a:xfrm>
          <a:off x="995082" y="848062"/>
          <a:ext cx="439271" cy="268150"/>
        </a:xfrm>
        <a:prstGeom prst="rect">
          <a:avLst/>
        </a:prstGeom>
      </xdr:spPr>
    </xdr:pic>
    <xdr:clientData/>
  </xdr:twoCellAnchor>
  <xdr:twoCellAnchor>
    <xdr:from>
      <xdr:col>1</xdr:col>
      <xdr:colOff>514296</xdr:colOff>
      <xdr:row>12</xdr:row>
      <xdr:rowOff>31339</xdr:rowOff>
    </xdr:from>
    <xdr:to>
      <xdr:col>3</xdr:col>
      <xdr:colOff>419960</xdr:colOff>
      <xdr:row>16</xdr:row>
      <xdr:rowOff>5418</xdr:rowOff>
    </xdr:to>
    <xdr:grpSp>
      <xdr:nvGrpSpPr>
        <xdr:cNvPr id="29" name="Group 28">
          <a:hlinkClick xmlns:r="http://schemas.openxmlformats.org/officeDocument/2006/relationships" r:id="rId6"/>
          <a:extLst>
            <a:ext uri="{FF2B5EF4-FFF2-40B4-BE49-F238E27FC236}">
              <a16:creationId xmlns:a16="http://schemas.microsoft.com/office/drawing/2014/main" id="{B4EEB280-70DC-4E35-93E6-E323A163FF2D}"/>
            </a:ext>
          </a:extLst>
        </xdr:cNvPr>
        <xdr:cNvGrpSpPr/>
      </xdr:nvGrpSpPr>
      <xdr:grpSpPr>
        <a:xfrm>
          <a:off x="1123896" y="2203039"/>
          <a:ext cx="1124864" cy="697979"/>
          <a:chOff x="1123896" y="2225899"/>
          <a:chExt cx="1124864" cy="705599"/>
        </a:xfrm>
        <a:effectLst/>
      </xdr:grpSpPr>
      <xdr:sp macro="" textlink="#REF!">
        <xdr:nvSpPr>
          <xdr:cNvPr id="30" name="TextBox 29">
            <a:extLst>
              <a:ext uri="{FF2B5EF4-FFF2-40B4-BE49-F238E27FC236}">
                <a16:creationId xmlns:a16="http://schemas.microsoft.com/office/drawing/2014/main" id="{BA0E06DF-2A90-9187-BAF6-3BC501B15FD9}"/>
              </a:ext>
            </a:extLst>
          </xdr:cNvPr>
          <xdr:cNvSpPr txBox="1"/>
        </xdr:nvSpPr>
        <xdr:spPr>
          <a:xfrm>
            <a:off x="1123896" y="2675982"/>
            <a:ext cx="1124864" cy="255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Real Sector</a:t>
            </a:r>
          </a:p>
        </xdr:txBody>
      </xdr:sp>
      <xdr:pic>
        <xdr:nvPicPr>
          <xdr:cNvPr id="31" name="Graphic 30" descr="Factory outline">
            <a:extLst>
              <a:ext uri="{FF2B5EF4-FFF2-40B4-BE49-F238E27FC236}">
                <a16:creationId xmlns:a16="http://schemas.microsoft.com/office/drawing/2014/main" id="{D8563960-1FF5-91DA-261A-12749067C44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421216" y="2225899"/>
            <a:ext cx="527019" cy="535332"/>
          </a:xfrm>
          <a:prstGeom prst="rect">
            <a:avLst/>
          </a:prstGeom>
          <a:effectLst/>
        </xdr:spPr>
      </xdr:pic>
    </xdr:grpSp>
    <xdr:clientData/>
  </xdr:twoCellAnchor>
  <xdr:twoCellAnchor>
    <xdr:from>
      <xdr:col>1</xdr:col>
      <xdr:colOff>493513</xdr:colOff>
      <xdr:row>16</xdr:row>
      <xdr:rowOff>44807</xdr:rowOff>
    </xdr:from>
    <xdr:to>
      <xdr:col>3</xdr:col>
      <xdr:colOff>399177</xdr:colOff>
      <xdr:row>20</xdr:row>
      <xdr:rowOff>10031</xdr:rowOff>
    </xdr:to>
    <xdr:grpSp>
      <xdr:nvGrpSpPr>
        <xdr:cNvPr id="32" name="Group 31">
          <a:hlinkClick xmlns:r="http://schemas.openxmlformats.org/officeDocument/2006/relationships" r:id="rId9"/>
          <a:extLst>
            <a:ext uri="{FF2B5EF4-FFF2-40B4-BE49-F238E27FC236}">
              <a16:creationId xmlns:a16="http://schemas.microsoft.com/office/drawing/2014/main" id="{465CBFAD-5F8B-4A0C-8F73-31E6F737D88D}"/>
            </a:ext>
          </a:extLst>
        </xdr:cNvPr>
        <xdr:cNvGrpSpPr/>
      </xdr:nvGrpSpPr>
      <xdr:grpSpPr>
        <a:xfrm>
          <a:off x="1103113" y="2940407"/>
          <a:ext cx="1124864" cy="689124"/>
          <a:chOff x="1103113" y="2970887"/>
          <a:chExt cx="1124864" cy="696744"/>
        </a:xfrm>
      </xdr:grpSpPr>
      <xdr:pic>
        <xdr:nvPicPr>
          <xdr:cNvPr id="33" name="Graphic 32" descr="Bank outline">
            <a:extLst>
              <a:ext uri="{FF2B5EF4-FFF2-40B4-BE49-F238E27FC236}">
                <a16:creationId xmlns:a16="http://schemas.microsoft.com/office/drawing/2014/main" id="{4FBB571C-B6C1-EE62-4973-F8227D56D0E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401163" y="2970887"/>
            <a:ext cx="535254" cy="538929"/>
          </a:xfrm>
          <a:prstGeom prst="rect">
            <a:avLst/>
          </a:prstGeom>
          <a:effectLst/>
        </xdr:spPr>
      </xdr:pic>
      <xdr:sp macro="" textlink="#REF!">
        <xdr:nvSpPr>
          <xdr:cNvPr id="34" name="TextBox 33">
            <a:extLst>
              <a:ext uri="{FF2B5EF4-FFF2-40B4-BE49-F238E27FC236}">
                <a16:creationId xmlns:a16="http://schemas.microsoft.com/office/drawing/2014/main" id="{0DFD976C-E8AE-1762-B591-84FB66D81280}"/>
              </a:ext>
            </a:extLst>
          </xdr:cNvPr>
          <xdr:cNvSpPr txBox="1"/>
        </xdr:nvSpPr>
        <xdr:spPr>
          <a:xfrm>
            <a:off x="1103113" y="3411300"/>
            <a:ext cx="1124864" cy="256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Monetary</a:t>
            </a:r>
          </a:p>
        </xdr:txBody>
      </xdr:sp>
    </xdr:grpSp>
    <xdr:clientData/>
  </xdr:twoCellAnchor>
  <xdr:twoCellAnchor>
    <xdr:from>
      <xdr:col>1</xdr:col>
      <xdr:colOff>493514</xdr:colOff>
      <xdr:row>20</xdr:row>
      <xdr:rowOff>46105</xdr:rowOff>
    </xdr:from>
    <xdr:to>
      <xdr:col>3</xdr:col>
      <xdr:colOff>399178</xdr:colOff>
      <xdr:row>24</xdr:row>
      <xdr:rowOff>14643</xdr:rowOff>
    </xdr:to>
    <xdr:grpSp>
      <xdr:nvGrpSpPr>
        <xdr:cNvPr id="35" name="Group 34">
          <a:hlinkClick xmlns:r="http://schemas.openxmlformats.org/officeDocument/2006/relationships" r:id="rId12"/>
          <a:extLst>
            <a:ext uri="{FF2B5EF4-FFF2-40B4-BE49-F238E27FC236}">
              <a16:creationId xmlns:a16="http://schemas.microsoft.com/office/drawing/2014/main" id="{3D5B4244-BA64-469F-9C01-E5F51C4D7ADC}"/>
            </a:ext>
          </a:extLst>
        </xdr:cNvPr>
        <xdr:cNvGrpSpPr/>
      </xdr:nvGrpSpPr>
      <xdr:grpSpPr>
        <a:xfrm>
          <a:off x="1103114" y="3665605"/>
          <a:ext cx="1124864" cy="692438"/>
          <a:chOff x="1103114" y="3703705"/>
          <a:chExt cx="1124864" cy="700058"/>
        </a:xfrm>
      </xdr:grpSpPr>
      <xdr:pic>
        <xdr:nvPicPr>
          <xdr:cNvPr id="36" name="Graphic 35" descr="Upward trend with solid fill">
            <a:extLst>
              <a:ext uri="{FF2B5EF4-FFF2-40B4-BE49-F238E27FC236}">
                <a16:creationId xmlns:a16="http://schemas.microsoft.com/office/drawing/2014/main" id="{17716F10-159D-EE07-2DC3-5E9EDB3B658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404870" y="3703705"/>
            <a:ext cx="537654" cy="545967"/>
          </a:xfrm>
          <a:prstGeom prst="rect">
            <a:avLst/>
          </a:prstGeom>
          <a:effectLst/>
        </xdr:spPr>
      </xdr:pic>
      <xdr:sp macro="" textlink="#REF!">
        <xdr:nvSpPr>
          <xdr:cNvPr id="37" name="TextBox 36">
            <a:extLst>
              <a:ext uri="{FF2B5EF4-FFF2-40B4-BE49-F238E27FC236}">
                <a16:creationId xmlns:a16="http://schemas.microsoft.com/office/drawing/2014/main" id="{B92B431B-B099-B205-6BF7-E1E8D6476FD1}"/>
              </a:ext>
            </a:extLst>
          </xdr:cNvPr>
          <xdr:cNvSpPr txBox="1"/>
        </xdr:nvSpPr>
        <xdr:spPr>
          <a:xfrm>
            <a:off x="1103114" y="4147432"/>
            <a:ext cx="1124864" cy="256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Inflation</a:t>
            </a:r>
          </a:p>
        </xdr:txBody>
      </xdr:sp>
    </xdr:grpSp>
    <xdr:clientData/>
  </xdr:twoCellAnchor>
  <xdr:twoCellAnchor>
    <xdr:from>
      <xdr:col>1</xdr:col>
      <xdr:colOff>521223</xdr:colOff>
      <xdr:row>24</xdr:row>
      <xdr:rowOff>33423</xdr:rowOff>
    </xdr:from>
    <xdr:to>
      <xdr:col>3</xdr:col>
      <xdr:colOff>426887</xdr:colOff>
      <xdr:row>28</xdr:row>
      <xdr:rowOff>19256</xdr:rowOff>
    </xdr:to>
    <xdr:grpSp>
      <xdr:nvGrpSpPr>
        <xdr:cNvPr id="38" name="Group 37">
          <a:hlinkClick xmlns:r="http://schemas.openxmlformats.org/officeDocument/2006/relationships" r:id="rId15"/>
          <a:extLst>
            <a:ext uri="{FF2B5EF4-FFF2-40B4-BE49-F238E27FC236}">
              <a16:creationId xmlns:a16="http://schemas.microsoft.com/office/drawing/2014/main" id="{EC906D30-BBB8-44B6-9F11-2FB6DF17B2CD}"/>
            </a:ext>
          </a:extLst>
        </xdr:cNvPr>
        <xdr:cNvGrpSpPr/>
      </xdr:nvGrpSpPr>
      <xdr:grpSpPr>
        <a:xfrm>
          <a:off x="1130823" y="4376823"/>
          <a:ext cx="1124864" cy="709733"/>
          <a:chOff x="1130823" y="4422543"/>
          <a:chExt cx="1124864" cy="717353"/>
        </a:xfrm>
      </xdr:grpSpPr>
      <xdr:pic>
        <xdr:nvPicPr>
          <xdr:cNvPr id="39" name="Graphic 38" descr="Construction worker male outline">
            <a:extLst>
              <a:ext uri="{FF2B5EF4-FFF2-40B4-BE49-F238E27FC236}">
                <a16:creationId xmlns:a16="http://schemas.microsoft.com/office/drawing/2014/main" id="{7684BCDB-4FBF-ADC5-0B43-8799A46B980F}"/>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423402" y="4422543"/>
            <a:ext cx="540054" cy="548367"/>
          </a:xfrm>
          <a:prstGeom prst="rect">
            <a:avLst/>
          </a:prstGeom>
          <a:effectLst/>
        </xdr:spPr>
      </xdr:pic>
      <xdr:sp macro="" textlink="#REF!">
        <xdr:nvSpPr>
          <xdr:cNvPr id="40" name="TextBox 39">
            <a:extLst>
              <a:ext uri="{FF2B5EF4-FFF2-40B4-BE49-F238E27FC236}">
                <a16:creationId xmlns:a16="http://schemas.microsoft.com/office/drawing/2014/main" id="{416ADB0A-EE39-09F0-F0EE-B8E1B21B59F8}"/>
              </a:ext>
            </a:extLst>
          </xdr:cNvPr>
          <xdr:cNvSpPr txBox="1"/>
        </xdr:nvSpPr>
        <xdr:spPr>
          <a:xfrm>
            <a:off x="1130823" y="4883565"/>
            <a:ext cx="1124864" cy="256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Labour</a:t>
            </a:r>
          </a:p>
        </xdr:txBody>
      </xdr:sp>
    </xdr:grpSp>
    <xdr:clientData/>
  </xdr:twoCellAnchor>
  <xdr:twoCellAnchor>
    <xdr:from>
      <xdr:col>1</xdr:col>
      <xdr:colOff>514296</xdr:colOff>
      <xdr:row>28</xdr:row>
      <xdr:rowOff>41325</xdr:rowOff>
    </xdr:from>
    <xdr:to>
      <xdr:col>3</xdr:col>
      <xdr:colOff>419960</xdr:colOff>
      <xdr:row>32</xdr:row>
      <xdr:rowOff>23868</xdr:rowOff>
    </xdr:to>
    <xdr:grpSp>
      <xdr:nvGrpSpPr>
        <xdr:cNvPr id="41" name="Group 40">
          <a:hlinkClick xmlns:r="http://schemas.openxmlformats.org/officeDocument/2006/relationships" r:id="rId18"/>
          <a:extLst>
            <a:ext uri="{FF2B5EF4-FFF2-40B4-BE49-F238E27FC236}">
              <a16:creationId xmlns:a16="http://schemas.microsoft.com/office/drawing/2014/main" id="{BCE55589-D0C5-4646-924C-BBF2F0CB4857}"/>
            </a:ext>
          </a:extLst>
        </xdr:cNvPr>
        <xdr:cNvGrpSpPr/>
      </xdr:nvGrpSpPr>
      <xdr:grpSpPr>
        <a:xfrm>
          <a:off x="1123896" y="5108625"/>
          <a:ext cx="1124864" cy="706443"/>
          <a:chOff x="1123896" y="5161965"/>
          <a:chExt cx="1124864" cy="714063"/>
        </a:xfrm>
      </xdr:grpSpPr>
      <xdr:pic>
        <xdr:nvPicPr>
          <xdr:cNvPr id="42" name="Graphic 41" descr="Miscellaneous outline">
            <a:extLst>
              <a:ext uri="{FF2B5EF4-FFF2-40B4-BE49-F238E27FC236}">
                <a16:creationId xmlns:a16="http://schemas.microsoft.com/office/drawing/2014/main" id="{FB655C8D-5FB2-ED3D-6574-AC8560220334}"/>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391164" y="5161965"/>
            <a:ext cx="616527" cy="624839"/>
          </a:xfrm>
          <a:prstGeom prst="rect">
            <a:avLst/>
          </a:prstGeom>
          <a:effectLst/>
        </xdr:spPr>
      </xdr:pic>
      <xdr:sp macro="" textlink="#REF!">
        <xdr:nvSpPr>
          <xdr:cNvPr id="43" name="TextBox 42">
            <a:extLst>
              <a:ext uri="{FF2B5EF4-FFF2-40B4-BE49-F238E27FC236}">
                <a16:creationId xmlns:a16="http://schemas.microsoft.com/office/drawing/2014/main" id="{EB1A9640-EB3F-3998-CD6D-D1F5E0678538}"/>
              </a:ext>
            </a:extLst>
          </xdr:cNvPr>
          <xdr:cNvSpPr txBox="1"/>
        </xdr:nvSpPr>
        <xdr:spPr>
          <a:xfrm>
            <a:off x="1123896" y="5619697"/>
            <a:ext cx="1124864" cy="256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External</a:t>
            </a:r>
          </a:p>
        </xdr:txBody>
      </xdr:sp>
    </xdr:grpSp>
    <xdr:clientData/>
  </xdr:twoCellAnchor>
  <xdr:twoCellAnchor>
    <xdr:from>
      <xdr:col>1</xdr:col>
      <xdr:colOff>521224</xdr:colOff>
      <xdr:row>31</xdr:row>
      <xdr:rowOff>149881</xdr:rowOff>
    </xdr:from>
    <xdr:to>
      <xdr:col>3</xdr:col>
      <xdr:colOff>426888</xdr:colOff>
      <xdr:row>36</xdr:row>
      <xdr:rowOff>28481</xdr:rowOff>
    </xdr:to>
    <xdr:grpSp>
      <xdr:nvGrpSpPr>
        <xdr:cNvPr id="44" name="Group 43">
          <a:hlinkClick xmlns:r="http://schemas.openxmlformats.org/officeDocument/2006/relationships" r:id="rId21"/>
          <a:extLst>
            <a:ext uri="{FF2B5EF4-FFF2-40B4-BE49-F238E27FC236}">
              <a16:creationId xmlns:a16="http://schemas.microsoft.com/office/drawing/2014/main" id="{0B3E8977-1600-4173-A394-E52296463684}"/>
            </a:ext>
          </a:extLst>
        </xdr:cNvPr>
        <xdr:cNvGrpSpPr/>
      </xdr:nvGrpSpPr>
      <xdr:grpSpPr>
        <a:xfrm>
          <a:off x="1130824" y="5760106"/>
          <a:ext cx="1124864" cy="783475"/>
          <a:chOff x="1130824" y="5819161"/>
          <a:chExt cx="1124864" cy="793000"/>
        </a:xfrm>
      </xdr:grpSpPr>
      <xdr:pic>
        <xdr:nvPicPr>
          <xdr:cNvPr id="45" name="Graphic 44" descr="Scales of justice outline">
            <a:extLst>
              <a:ext uri="{FF2B5EF4-FFF2-40B4-BE49-F238E27FC236}">
                <a16:creationId xmlns:a16="http://schemas.microsoft.com/office/drawing/2014/main" id="{AFF9B93C-2249-413F-5BB9-4852870F1855}"/>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410764" y="5819161"/>
            <a:ext cx="586418" cy="598317"/>
          </a:xfrm>
          <a:prstGeom prst="rect">
            <a:avLst/>
          </a:prstGeom>
          <a:effectLst/>
        </xdr:spPr>
      </xdr:pic>
      <xdr:sp macro="" textlink="#REF!">
        <xdr:nvSpPr>
          <xdr:cNvPr id="46" name="TextBox 45">
            <a:extLst>
              <a:ext uri="{FF2B5EF4-FFF2-40B4-BE49-F238E27FC236}">
                <a16:creationId xmlns:a16="http://schemas.microsoft.com/office/drawing/2014/main" id="{46E92D72-1832-4F1E-A826-7E36AFE33EF7}"/>
              </a:ext>
            </a:extLst>
          </xdr:cNvPr>
          <xdr:cNvSpPr txBox="1"/>
        </xdr:nvSpPr>
        <xdr:spPr>
          <a:xfrm>
            <a:off x="1130824" y="6355830"/>
            <a:ext cx="1124864" cy="256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rgbClr val="6372A4"/>
                </a:solidFill>
                <a:latin typeface="Aptos Narrow"/>
                <a:ea typeface="+mn-ea"/>
                <a:cs typeface="+mn-cs"/>
              </a:rPr>
              <a:t>Fiscal</a:t>
            </a:r>
          </a:p>
        </xdr:txBody>
      </xdr:sp>
    </xdr:grpSp>
    <xdr:clientData/>
  </xdr:twoCellAnchor>
  <xdr:twoCellAnchor>
    <xdr:from>
      <xdr:col>1</xdr:col>
      <xdr:colOff>521224</xdr:colOff>
      <xdr:row>36</xdr:row>
      <xdr:rowOff>57807</xdr:rowOff>
    </xdr:from>
    <xdr:to>
      <xdr:col>3</xdr:col>
      <xdr:colOff>426888</xdr:colOff>
      <xdr:row>40</xdr:row>
      <xdr:rowOff>29510</xdr:rowOff>
    </xdr:to>
    <xdr:grpSp>
      <xdr:nvGrpSpPr>
        <xdr:cNvPr id="47" name="Group 46">
          <a:hlinkClick xmlns:r="http://schemas.openxmlformats.org/officeDocument/2006/relationships" r:id="rId24"/>
          <a:extLst>
            <a:ext uri="{FF2B5EF4-FFF2-40B4-BE49-F238E27FC236}">
              <a16:creationId xmlns:a16="http://schemas.microsoft.com/office/drawing/2014/main" id="{8908B11E-8FE6-4299-AB1E-54B167C9FA40}"/>
            </a:ext>
          </a:extLst>
        </xdr:cNvPr>
        <xdr:cNvGrpSpPr/>
      </xdr:nvGrpSpPr>
      <xdr:grpSpPr>
        <a:xfrm>
          <a:off x="1130824" y="6572907"/>
          <a:ext cx="1124864" cy="695603"/>
          <a:chOff x="1130824" y="6641487"/>
          <a:chExt cx="1124864" cy="703223"/>
        </a:xfrm>
      </xdr:grpSpPr>
      <xdr:pic>
        <xdr:nvPicPr>
          <xdr:cNvPr id="48" name="Graphic 47" descr="Closed book outline">
            <a:extLst>
              <a:ext uri="{FF2B5EF4-FFF2-40B4-BE49-F238E27FC236}">
                <a16:creationId xmlns:a16="http://schemas.microsoft.com/office/drawing/2014/main" id="{FFB53D5F-B867-0814-50D6-42804D88E2D3}"/>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1417845" y="6641487"/>
            <a:ext cx="508802" cy="516057"/>
          </a:xfrm>
          <a:prstGeom prst="rect">
            <a:avLst/>
          </a:prstGeom>
          <a:effectLst>
            <a:glow rad="101600">
              <a:srgbClr val="0575F1">
                <a:alpha val="40000"/>
              </a:srgbClr>
            </a:glow>
          </a:effectLst>
        </xdr:spPr>
      </xdr:pic>
      <xdr:sp macro="" textlink="#REF!">
        <xdr:nvSpPr>
          <xdr:cNvPr id="49" name="TextBox 48">
            <a:extLst>
              <a:ext uri="{FF2B5EF4-FFF2-40B4-BE49-F238E27FC236}">
                <a16:creationId xmlns:a16="http://schemas.microsoft.com/office/drawing/2014/main" id="{63594F18-9AF5-76C9-5AA4-363782A6AAA9}"/>
              </a:ext>
            </a:extLst>
          </xdr:cNvPr>
          <xdr:cNvSpPr txBox="1"/>
        </xdr:nvSpPr>
        <xdr:spPr>
          <a:xfrm>
            <a:off x="1130824" y="7091965"/>
            <a:ext cx="1124864" cy="252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chemeClr val="bg1"/>
                </a:solidFill>
                <a:latin typeface="Aptos Narrow"/>
                <a:ea typeface="+mn-ea"/>
                <a:cs typeface="+mn-cs"/>
              </a:rPr>
              <a:t>Summary</a:t>
            </a:r>
          </a:p>
        </xdr:txBody>
      </xdr:sp>
    </xdr:grpSp>
    <xdr:clientData/>
  </xdr:twoCellAnchor>
  <xdr:twoCellAnchor editAs="oneCell">
    <xdr:from>
      <xdr:col>4</xdr:col>
      <xdr:colOff>233079</xdr:colOff>
      <xdr:row>4</xdr:row>
      <xdr:rowOff>144781</xdr:rowOff>
    </xdr:from>
    <xdr:to>
      <xdr:col>22</xdr:col>
      <xdr:colOff>17928</xdr:colOff>
      <xdr:row>11</xdr:row>
      <xdr:rowOff>17929</xdr:rowOff>
    </xdr:to>
    <mc:AlternateContent xmlns:mc="http://schemas.openxmlformats.org/markup-compatibility/2006" xmlns:a14="http://schemas.microsoft.com/office/drawing/2010/main">
      <mc:Choice Requires="a14">
        <xdr:graphicFrame macro="">
          <xdr:nvGraphicFramePr>
            <xdr:cNvPr id="55" name="Year 7">
              <a:extLst>
                <a:ext uri="{FF2B5EF4-FFF2-40B4-BE49-F238E27FC236}">
                  <a16:creationId xmlns:a16="http://schemas.microsoft.com/office/drawing/2014/main" id="{6C514656-1B59-41A4-8161-E9F01A66E3CE}"/>
                </a:ext>
              </a:extLst>
            </xdr:cNvPr>
            <xdr:cNvGraphicFramePr/>
          </xdr:nvGraphicFramePr>
          <xdr:xfrm>
            <a:off x="0" y="0"/>
            <a:ext cx="0" cy="0"/>
          </xdr:xfrm>
          <a:graphic>
            <a:graphicData uri="http://schemas.microsoft.com/office/drawing/2010/slicer">
              <sle:slicer xmlns:sle="http://schemas.microsoft.com/office/drawing/2010/slicer" name="Year 7"/>
            </a:graphicData>
          </a:graphic>
        </xdr:graphicFrame>
      </mc:Choice>
      <mc:Fallback xmlns="">
        <xdr:sp macro="" textlink="">
          <xdr:nvSpPr>
            <xdr:cNvPr id="0" name=""/>
            <xdr:cNvSpPr>
              <a:spLocks noTextEdit="1"/>
            </xdr:cNvSpPr>
          </xdr:nvSpPr>
          <xdr:spPr>
            <a:xfrm>
              <a:off x="2671479" y="868681"/>
              <a:ext cx="10757649" cy="11399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161925</xdr:colOff>
      <xdr:row>13</xdr:row>
      <xdr:rowOff>104775</xdr:rowOff>
    </xdr:from>
    <xdr:to>
      <xdr:col>8</xdr:col>
      <xdr:colOff>581025</xdr:colOff>
      <xdr:row>15</xdr:row>
      <xdr:rowOff>123825</xdr:rowOff>
    </xdr:to>
    <xdr:sp macro="" textlink="">
      <xdr:nvSpPr>
        <xdr:cNvPr id="68" name="TextBox 67">
          <a:extLst>
            <a:ext uri="{FF2B5EF4-FFF2-40B4-BE49-F238E27FC236}">
              <a16:creationId xmlns:a16="http://schemas.microsoft.com/office/drawing/2014/main" id="{81FF702F-664B-E327-B926-CE6D66A2DBE6}"/>
            </a:ext>
          </a:extLst>
        </xdr:cNvPr>
        <xdr:cNvSpPr txBox="1"/>
      </xdr:nvSpPr>
      <xdr:spPr>
        <a:xfrm>
          <a:off x="2600325" y="2457450"/>
          <a:ext cx="28575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u="sng">
              <a:solidFill>
                <a:srgbClr val="00B050"/>
              </a:solidFill>
            </a:rPr>
            <a:t>KEY STRATEGIC INSIGHTS</a:t>
          </a:r>
        </a:p>
      </xdr:txBody>
    </xdr:sp>
    <xdr:clientData/>
  </xdr:twoCellAnchor>
  <xdr:twoCellAnchor>
    <xdr:from>
      <xdr:col>4</xdr:col>
      <xdr:colOff>304800</xdr:colOff>
      <xdr:row>15</xdr:row>
      <xdr:rowOff>104775</xdr:rowOff>
    </xdr:from>
    <xdr:to>
      <xdr:col>21</xdr:col>
      <xdr:colOff>457200</xdr:colOff>
      <xdr:row>23</xdr:row>
      <xdr:rowOff>85725</xdr:rowOff>
    </xdr:to>
    <xdr:sp macro="" textlink="">
      <xdr:nvSpPr>
        <xdr:cNvPr id="69" name="TextBox 68">
          <a:extLst>
            <a:ext uri="{FF2B5EF4-FFF2-40B4-BE49-F238E27FC236}">
              <a16:creationId xmlns:a16="http://schemas.microsoft.com/office/drawing/2014/main" id="{5F641BB1-9B53-06CD-E1BD-2436B20DE52D}"/>
            </a:ext>
          </a:extLst>
        </xdr:cNvPr>
        <xdr:cNvSpPr txBox="1"/>
      </xdr:nvSpPr>
      <xdr:spPr>
        <a:xfrm>
          <a:off x="2743200" y="2819400"/>
          <a:ext cx="10515600" cy="1428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0" u="none">
              <a:solidFill>
                <a:schemeClr val="bg1"/>
              </a:solidFill>
            </a:rPr>
            <a:t>1. </a:t>
          </a:r>
          <a:r>
            <a:rPr lang="en-US" sz="1600" b="0" u="none">
              <a:solidFill>
                <a:schemeClr val="accent4">
                  <a:lumMod val="60000"/>
                  <a:lumOff val="40000"/>
                </a:schemeClr>
              </a:solidFill>
            </a:rPr>
            <a:t>ECONOMIC RESILIENCE</a:t>
          </a:r>
          <a:r>
            <a:rPr lang="en-US" sz="1600" b="0" u="none">
              <a:solidFill>
                <a:schemeClr val="bg1"/>
              </a:solidFill>
            </a:rPr>
            <a:t>: Real GDP has shown strong recovery post-shocks (2008, 2020), though volatility remains a concern.</a:t>
          </a:r>
        </a:p>
        <a:p>
          <a:pPr algn="l"/>
          <a:r>
            <a:rPr lang="en-US" sz="1600" b="0" u="none">
              <a:solidFill>
                <a:schemeClr val="bg1"/>
              </a:solidFill>
            </a:rPr>
            <a:t>2. </a:t>
          </a:r>
          <a:r>
            <a:rPr lang="en-US" sz="1600" b="0" u="none">
              <a:solidFill>
                <a:schemeClr val="accent4">
                  <a:lumMod val="60000"/>
                  <a:lumOff val="40000"/>
                </a:schemeClr>
              </a:solidFill>
            </a:rPr>
            <a:t>PRICE STABILITY</a:t>
          </a:r>
          <a:r>
            <a:rPr lang="en-US" sz="1600" b="0" u="none">
              <a:solidFill>
                <a:schemeClr val="bg1"/>
              </a:solidFill>
            </a:rPr>
            <a:t>: The 2022 Inflation spike was transient, with recent data showing a return to stabilization.</a:t>
          </a:r>
        </a:p>
        <a:p>
          <a:pPr algn="l"/>
          <a:r>
            <a:rPr lang="en-US" sz="1600" b="0" u="none">
              <a:solidFill>
                <a:schemeClr val="bg1"/>
              </a:solidFill>
            </a:rPr>
            <a:t>3. </a:t>
          </a:r>
          <a:r>
            <a:rPr lang="en-US" sz="1600" b="0" u="none">
              <a:solidFill>
                <a:schemeClr val="accent4">
                  <a:lumMod val="60000"/>
                  <a:lumOff val="40000"/>
                </a:schemeClr>
              </a:solidFill>
            </a:rPr>
            <a:t>LABOUR DYNAMICS</a:t>
          </a:r>
          <a:r>
            <a:rPr lang="en-US" sz="1600" b="0" u="none">
              <a:solidFill>
                <a:schemeClr val="bg1"/>
              </a:solidFill>
            </a:rPr>
            <a:t>: A persistent gap between Male and Female participation rates suggests structural untapped potential.</a:t>
          </a:r>
        </a:p>
        <a:p>
          <a:pPr algn="l"/>
          <a:r>
            <a:rPr lang="en-US" sz="1600" b="0" u="none">
              <a:solidFill>
                <a:schemeClr val="bg1"/>
              </a:solidFill>
            </a:rPr>
            <a:t>4. </a:t>
          </a:r>
          <a:r>
            <a:rPr lang="en-US" sz="1600" b="0" u="none">
              <a:solidFill>
                <a:schemeClr val="accent4">
                  <a:lumMod val="60000"/>
                  <a:lumOff val="40000"/>
                </a:schemeClr>
              </a:solidFill>
            </a:rPr>
            <a:t>EXTERNAL VULNERABILITY</a:t>
          </a:r>
          <a:r>
            <a:rPr lang="en-US" sz="1600" b="0" u="none">
              <a:solidFill>
                <a:schemeClr val="bg1"/>
              </a:solidFill>
            </a:rPr>
            <a:t>: The trade balance shows periods of widening deficits, heavily reliant on export performance.</a:t>
          </a:r>
        </a:p>
        <a:p>
          <a:pPr algn="l"/>
          <a:r>
            <a:rPr lang="en-US" sz="1600" b="0" u="none">
              <a:solidFill>
                <a:schemeClr val="bg1"/>
              </a:solidFill>
            </a:rPr>
            <a:t>5. </a:t>
          </a:r>
          <a:r>
            <a:rPr lang="en-US" sz="1600" b="0" u="none">
              <a:solidFill>
                <a:schemeClr val="accent4">
                  <a:lumMod val="60000"/>
                  <a:lumOff val="40000"/>
                </a:schemeClr>
              </a:solidFill>
            </a:rPr>
            <a:t>FISCAL DISCIPLINE</a:t>
          </a:r>
          <a:r>
            <a:rPr lang="en-US" sz="1600" b="0" u="none">
              <a:solidFill>
                <a:schemeClr val="bg1"/>
              </a:solidFill>
            </a:rPr>
            <a:t>: Public debt is rising but manageable; however, the persistent budget deficit requires monitoring.</a:t>
          </a:r>
        </a:p>
      </xdr:txBody>
    </xdr:sp>
    <xdr:clientData/>
  </xdr:twoCellAnchor>
  <xdr:twoCellAnchor>
    <xdr:from>
      <xdr:col>4</xdr:col>
      <xdr:colOff>132192</xdr:colOff>
      <xdr:row>25</xdr:row>
      <xdr:rowOff>50662</xdr:rowOff>
    </xdr:from>
    <xdr:to>
      <xdr:col>22</xdr:col>
      <xdr:colOff>152399</xdr:colOff>
      <xdr:row>41</xdr:row>
      <xdr:rowOff>114300</xdr:rowOff>
    </xdr:to>
    <xdr:sp macro="" textlink="">
      <xdr:nvSpPr>
        <xdr:cNvPr id="70" name="Rectangle: Rounded Corners 69">
          <a:extLst>
            <a:ext uri="{FF2B5EF4-FFF2-40B4-BE49-F238E27FC236}">
              <a16:creationId xmlns:a16="http://schemas.microsoft.com/office/drawing/2014/main" id="{423C9B01-02F6-8845-BF60-BA2939ABDF35}"/>
            </a:ext>
          </a:extLst>
        </xdr:cNvPr>
        <xdr:cNvSpPr/>
      </xdr:nvSpPr>
      <xdr:spPr>
        <a:xfrm>
          <a:off x="2570592" y="4575037"/>
          <a:ext cx="10993007" cy="2959238"/>
        </a:xfrm>
        <a:prstGeom prst="roundRect">
          <a:avLst>
            <a:gd name="adj" fmla="val 7935"/>
          </a:avLst>
        </a:prstGeom>
        <a:gradFill>
          <a:gsLst>
            <a:gs pos="0">
              <a:srgbClr val="323687"/>
            </a:gs>
            <a:gs pos="75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238125</xdr:colOff>
      <xdr:row>26</xdr:row>
      <xdr:rowOff>0</xdr:rowOff>
    </xdr:from>
    <xdr:to>
      <xdr:col>9</xdr:col>
      <xdr:colOff>47625</xdr:colOff>
      <xdr:row>28</xdr:row>
      <xdr:rowOff>19050</xdr:rowOff>
    </xdr:to>
    <xdr:sp macro="" textlink="">
      <xdr:nvSpPr>
        <xdr:cNvPr id="71" name="TextBox 70">
          <a:extLst>
            <a:ext uri="{FF2B5EF4-FFF2-40B4-BE49-F238E27FC236}">
              <a16:creationId xmlns:a16="http://schemas.microsoft.com/office/drawing/2014/main" id="{3D0D918D-B46F-ADF9-66FE-8EC2DD857193}"/>
            </a:ext>
          </a:extLst>
        </xdr:cNvPr>
        <xdr:cNvSpPr txBox="1"/>
      </xdr:nvSpPr>
      <xdr:spPr>
        <a:xfrm>
          <a:off x="2676525" y="4705350"/>
          <a:ext cx="28575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u="sng">
              <a:solidFill>
                <a:srgbClr val="00B050"/>
              </a:solidFill>
            </a:rPr>
            <a:t>Data Sources &amp; References</a:t>
          </a:r>
        </a:p>
      </xdr:txBody>
    </xdr:sp>
    <xdr:clientData/>
  </xdr:twoCellAnchor>
  <xdr:twoCellAnchor>
    <xdr:from>
      <xdr:col>4</xdr:col>
      <xdr:colOff>257175</xdr:colOff>
      <xdr:row>28</xdr:row>
      <xdr:rowOff>76200</xdr:rowOff>
    </xdr:from>
    <xdr:to>
      <xdr:col>21</xdr:col>
      <xdr:colOff>409575</xdr:colOff>
      <xdr:row>33</xdr:row>
      <xdr:rowOff>104775</xdr:rowOff>
    </xdr:to>
    <xdr:sp macro="" textlink="">
      <xdr:nvSpPr>
        <xdr:cNvPr id="72" name="TextBox 71">
          <a:hlinkClick xmlns:r="http://schemas.openxmlformats.org/officeDocument/2006/relationships" r:id="rId27"/>
          <a:extLst>
            <a:ext uri="{FF2B5EF4-FFF2-40B4-BE49-F238E27FC236}">
              <a16:creationId xmlns:a16="http://schemas.microsoft.com/office/drawing/2014/main" id="{B9EB9661-B1F1-B76E-826E-0FC1B55928A7}"/>
            </a:ext>
          </a:extLst>
        </xdr:cNvPr>
        <xdr:cNvSpPr txBox="1"/>
      </xdr:nvSpPr>
      <xdr:spPr>
        <a:xfrm>
          <a:off x="2695575" y="5143500"/>
          <a:ext cx="10515600" cy="933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a:solidFill>
                <a:schemeClr val="accent1">
                  <a:lumMod val="60000"/>
                  <a:lumOff val="40000"/>
                </a:schemeClr>
              </a:solidFill>
            </a:rPr>
            <a:t>World Bank Open Data</a:t>
          </a:r>
          <a:r>
            <a:rPr lang="en-US" sz="1600">
              <a:solidFill>
                <a:schemeClr val="bg1"/>
              </a:solidFill>
            </a:rPr>
            <a:t>: https://share.google/0sv1uhWECpTYUgZQb</a:t>
          </a:r>
        </a:p>
        <a:p>
          <a:pPr algn="l"/>
          <a:r>
            <a:rPr lang="en-US" sz="1600">
              <a:solidFill>
                <a:schemeClr val="accent1">
                  <a:lumMod val="60000"/>
                  <a:lumOff val="40000"/>
                </a:schemeClr>
              </a:solidFill>
            </a:rPr>
            <a:t>Nordic Investment Bank</a:t>
          </a:r>
          <a:r>
            <a:rPr lang="en-US" sz="1600">
              <a:solidFill>
                <a:schemeClr val="bg1"/>
              </a:solidFill>
            </a:rPr>
            <a:t>: https://share.google/2GQpGYNfXXKHD0pSf</a:t>
          </a:r>
        </a:p>
        <a:p>
          <a:pPr algn="l"/>
          <a:r>
            <a:rPr lang="en-US" sz="1600">
              <a:solidFill>
                <a:schemeClr val="accent1">
                  <a:lumMod val="60000"/>
                  <a:lumOff val="40000"/>
                </a:schemeClr>
              </a:solidFill>
            </a:rPr>
            <a:t>International Monetary Fund </a:t>
          </a:r>
          <a:r>
            <a:rPr lang="en-US" sz="1600">
              <a:solidFill>
                <a:schemeClr val="bg1"/>
              </a:solidFill>
            </a:rPr>
            <a:t>: https://share.google/yUPoAZiXUFuBb9FgP</a:t>
          </a:r>
          <a:endParaRPr lang="en-US" sz="1600" b="0" u="none">
            <a:solidFill>
              <a:schemeClr val="bg1"/>
            </a:solidFill>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6</xdr:col>
      <xdr:colOff>0</xdr:colOff>
      <xdr:row>8</xdr:row>
      <xdr:rowOff>99060</xdr:rowOff>
    </xdr:from>
    <xdr:to>
      <xdr:col>7</xdr:col>
      <xdr:colOff>441960</xdr:colOff>
      <xdr:row>12</xdr:row>
      <xdr:rowOff>68580</xdr:rowOff>
    </xdr:to>
    <xdr:sp macro="" textlink="">
      <xdr:nvSpPr>
        <xdr:cNvPr id="2" name="Rectangle 1">
          <a:extLst>
            <a:ext uri="{FF2B5EF4-FFF2-40B4-BE49-F238E27FC236}">
              <a16:creationId xmlns:a16="http://schemas.microsoft.com/office/drawing/2014/main" id="{F1034969-11FE-4B89-9441-F86E5AA5430B}"/>
            </a:ext>
          </a:extLst>
        </xdr:cNvPr>
        <xdr:cNvSpPr/>
      </xdr:nvSpPr>
      <xdr:spPr>
        <a:xfrm>
          <a:off x="3657600" y="1562100"/>
          <a:ext cx="1051560" cy="701040"/>
        </a:xfrm>
        <a:prstGeom prst="rect">
          <a:avLst/>
        </a:prstGeom>
        <a:gradFill>
          <a:gsLst>
            <a:gs pos="0">
              <a:srgbClr val="3647E3"/>
            </a:gs>
            <a:gs pos="100000">
              <a:srgbClr val="8D76FC"/>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312420</xdr:colOff>
      <xdr:row>8</xdr:row>
      <xdr:rowOff>83820</xdr:rowOff>
    </xdr:from>
    <xdr:to>
      <xdr:col>10</xdr:col>
      <xdr:colOff>175260</xdr:colOff>
      <xdr:row>12</xdr:row>
      <xdr:rowOff>91440</xdr:rowOff>
    </xdr:to>
    <xdr:sp macro="" textlink="">
      <xdr:nvSpPr>
        <xdr:cNvPr id="3" name="Rectangle 2">
          <a:extLst>
            <a:ext uri="{FF2B5EF4-FFF2-40B4-BE49-F238E27FC236}">
              <a16:creationId xmlns:a16="http://schemas.microsoft.com/office/drawing/2014/main" id="{A245B2C4-61FE-4951-BC81-C36AEABA8862}"/>
            </a:ext>
          </a:extLst>
        </xdr:cNvPr>
        <xdr:cNvSpPr/>
      </xdr:nvSpPr>
      <xdr:spPr>
        <a:xfrm>
          <a:off x="5189220" y="1546860"/>
          <a:ext cx="1082040" cy="739140"/>
        </a:xfrm>
        <a:prstGeom prst="rect">
          <a:avLst/>
        </a:prstGeom>
        <a:gradFill>
          <a:gsLst>
            <a:gs pos="0">
              <a:srgbClr val="0070B1"/>
            </a:gs>
            <a:gs pos="100000">
              <a:srgbClr val="00B7D2"/>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563880</xdr:colOff>
      <xdr:row>8</xdr:row>
      <xdr:rowOff>152400</xdr:rowOff>
    </xdr:from>
    <xdr:to>
      <xdr:col>12</xdr:col>
      <xdr:colOff>198120</xdr:colOff>
      <xdr:row>13</xdr:row>
      <xdr:rowOff>22860</xdr:rowOff>
    </xdr:to>
    <xdr:sp macro="" textlink="">
      <xdr:nvSpPr>
        <xdr:cNvPr id="4" name="Rectangle 3">
          <a:extLst>
            <a:ext uri="{FF2B5EF4-FFF2-40B4-BE49-F238E27FC236}">
              <a16:creationId xmlns:a16="http://schemas.microsoft.com/office/drawing/2014/main" id="{42F90BAA-ACBC-4043-A478-7CFDE0E5CD97}"/>
            </a:ext>
          </a:extLst>
        </xdr:cNvPr>
        <xdr:cNvSpPr/>
      </xdr:nvSpPr>
      <xdr:spPr>
        <a:xfrm>
          <a:off x="6659880" y="1615440"/>
          <a:ext cx="853440" cy="784860"/>
        </a:xfrm>
        <a:prstGeom prst="rect">
          <a:avLst/>
        </a:prstGeom>
        <a:gradFill>
          <a:gsLst>
            <a:gs pos="0">
              <a:srgbClr val="8701DA"/>
            </a:gs>
            <a:gs pos="100000">
              <a:srgbClr val="AD27FE"/>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213360</xdr:colOff>
      <xdr:row>8</xdr:row>
      <xdr:rowOff>0</xdr:rowOff>
    </xdr:from>
    <xdr:to>
      <xdr:col>14</xdr:col>
      <xdr:colOff>457200</xdr:colOff>
      <xdr:row>12</xdr:row>
      <xdr:rowOff>53340</xdr:rowOff>
    </xdr:to>
    <xdr:sp macro="" textlink="">
      <xdr:nvSpPr>
        <xdr:cNvPr id="5" name="Rectangle 4">
          <a:extLst>
            <a:ext uri="{FF2B5EF4-FFF2-40B4-BE49-F238E27FC236}">
              <a16:creationId xmlns:a16="http://schemas.microsoft.com/office/drawing/2014/main" id="{31512A6F-E642-4A3E-9372-972048F173DC}"/>
            </a:ext>
          </a:extLst>
        </xdr:cNvPr>
        <xdr:cNvSpPr/>
      </xdr:nvSpPr>
      <xdr:spPr>
        <a:xfrm>
          <a:off x="8138160" y="1463040"/>
          <a:ext cx="853440" cy="784860"/>
        </a:xfrm>
        <a:prstGeom prst="rect">
          <a:avLst/>
        </a:prstGeom>
        <a:gradFill>
          <a:gsLst>
            <a:gs pos="0">
              <a:srgbClr val="3A5CE2"/>
            </a:gs>
            <a:gs pos="100000">
              <a:srgbClr val="476BEE"/>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198120</xdr:colOff>
      <xdr:row>14</xdr:row>
      <xdr:rowOff>53340</xdr:rowOff>
    </xdr:from>
    <xdr:to>
      <xdr:col>15</xdr:col>
      <xdr:colOff>43853</xdr:colOff>
      <xdr:row>26</xdr:row>
      <xdr:rowOff>142913</xdr:rowOff>
    </xdr:to>
    <xdr:sp macro="" textlink="">
      <xdr:nvSpPr>
        <xdr:cNvPr id="6" name="Oval 5">
          <a:extLst>
            <a:ext uri="{FF2B5EF4-FFF2-40B4-BE49-F238E27FC236}">
              <a16:creationId xmlns:a16="http://schemas.microsoft.com/office/drawing/2014/main" id="{CF043A6E-3632-4E73-901C-173BAED75E02}"/>
            </a:ext>
          </a:extLst>
        </xdr:cNvPr>
        <xdr:cNvSpPr/>
      </xdr:nvSpPr>
      <xdr:spPr>
        <a:xfrm>
          <a:off x="6903720" y="2613660"/>
          <a:ext cx="2284133" cy="2284133"/>
        </a:xfrm>
        <a:prstGeom prst="ellipse">
          <a:avLst/>
        </a:prstGeom>
        <a:gradFill>
          <a:gsLst>
            <a:gs pos="0">
              <a:srgbClr val="34349E"/>
            </a:gs>
            <a:gs pos="100000">
              <a:srgbClr val="212469"/>
            </a:gs>
          </a:gsLst>
          <a:lin ang="5400000" scaled="1"/>
        </a:gradFill>
        <a:ln w="9525">
          <a:solidFill>
            <a:srgbClr val="595EFA"/>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lina Ranasinghe" refreshedDate="46068.681438657404" createdVersion="8" refreshedVersion="8" minRefreshableVersion="3" recordCount="26" xr:uid="{2466F215-BF9D-4F6D-8E09-7144F3B2D4AD}">
  <cacheSource type="worksheet">
    <worksheetSource name="MacroData"/>
  </cacheSource>
  <cacheFields count="29">
    <cacheField name="Year" numFmtId="0">
      <sharedItems containsSemiMixedTypes="0" containsString="0" containsNumber="1" containsInteger="1" minValue="1999" maxValue="2024" count="26">
        <n v="1999"/>
        <n v="2000"/>
        <n v="2001"/>
        <n v="2002"/>
        <n v="2003"/>
        <n v="2004"/>
        <n v="2005"/>
        <n v="2006"/>
        <n v="2007"/>
        <n v="2008"/>
        <n v="2009"/>
        <n v="2010"/>
        <n v="2011"/>
        <n v="2012"/>
        <n v="2013"/>
        <n v="2014"/>
        <n v="2015"/>
        <n v="2016"/>
        <n v="2017"/>
        <n v="2018"/>
        <n v="2019"/>
        <n v="2020"/>
        <n v="2021"/>
        <n v="2022"/>
        <n v="2023"/>
        <n v="2024"/>
      </sharedItems>
    </cacheField>
    <cacheField name="Real_GDP_Growth" numFmtId="0">
      <sharedItems containsSemiMixedTypes="0" containsString="0" containsNumber="1" minValue="-16.04" maxValue="12.83"/>
    </cacheField>
    <cacheField name="GDP_Per_Capita_Growth" numFmtId="0">
      <sharedItems containsSemiMixedTypes="0" containsString="0" containsNumber="1" minValue="-14.06" maxValue="13.09"/>
    </cacheField>
    <cacheField name="Agriculture" numFmtId="0">
      <sharedItems containsSemiMixedTypes="0" containsString="0" containsNumber="1" minValue="3.01" maxValue="4.5"/>
    </cacheField>
    <cacheField name="Industry" numFmtId="0">
      <sharedItems containsSemiMixedTypes="0" containsString="0" containsNumber="1" minValue="20.02" maxValue="24.03"/>
    </cacheField>
    <cacheField name="Services" numFmtId="0">
      <sharedItems containsSemiMixedTypes="0" containsString="0" containsNumber="1" minValue="71.02" maxValue="76.040000000000006"/>
    </cacheField>
    <cacheField name="Consumption_Contribution" numFmtId="0">
      <sharedItems containsSemiMixedTypes="0" containsString="0" containsNumber="1" minValue="58.7" maxValue="67.2"/>
    </cacheField>
    <cacheField name="Policy_Interest_Rate" numFmtId="0">
      <sharedItems containsSemiMixedTypes="0" containsString="0" containsNumber="1" minValue="2.8" maxValue="14.8"/>
    </cacheField>
    <cacheField name="Market_Interest_Rate" numFmtId="0">
      <sharedItems containsSemiMixedTypes="0" containsString="0" containsNumber="1" minValue="2.8" maxValue="14.8"/>
    </cacheField>
    <cacheField name="Money_Supply" numFmtId="0">
      <sharedItems containsSemiMixedTypes="0" containsString="0" containsNumber="1" minValue="-5" maxValue="41"/>
    </cacheField>
    <cacheField name="Credit_Growth" numFmtId="0">
      <sharedItems containsSemiMixedTypes="0" containsString="0" containsNumber="1" minValue="-11.2" maxValue="62.7"/>
    </cacheField>
    <cacheField name="Headline_Inflation" numFmtId="0">
      <sharedItems containsSemiMixedTypes="0" containsString="0" containsNumber="1" minValue="-1.08" maxValue="17.309999999999999"/>
    </cacheField>
    <cacheField name="Core_Inflation" numFmtId="0">
      <sharedItems containsSemiMixedTypes="0" containsString="0" containsNumber="1" minValue="-2.5" maxValue="13.5"/>
    </cacheField>
    <cacheField name="Food_Inflation" numFmtId="0">
      <sharedItems containsSemiMixedTypes="0" containsString="0" containsNumber="1" minValue="-2" maxValue="21"/>
    </cacheField>
    <cacheField name="Non_Food_Inflation" numFmtId="0">
      <sharedItems containsSemiMixedTypes="0" containsString="0" containsNumber="1" minValue="-2.2000000000000002" maxValue="25.4"/>
    </cacheField>
    <cacheField name="PPI" numFmtId="0">
      <sharedItems containsSemiMixedTypes="0" containsString="0" containsNumber="1" minValue="-4" maxValue="34"/>
    </cacheField>
    <cacheField name="Unemployment_Rate" numFmtId="0">
      <sharedItems containsSemiMixedTypes="0" containsString="0" containsNumber="1" minValue="6.05" maxValue="19.48"/>
    </cacheField>
    <cacheField name="Labour_Force_Part_Rate" numFmtId="0">
      <sharedItems containsSemiMixedTypes="0" containsString="0" containsNumber="1" minValue="32.71" maxValue="42.87"/>
    </cacheField>
    <cacheField name="Female_LFPR" numFmtId="0">
      <sharedItems containsSemiMixedTypes="0" containsString="0" containsNumber="1" minValue="47.59" maxValue="50.39"/>
    </cacheField>
    <cacheField name="Male_Wage_Growth" numFmtId="0">
      <sharedItems containsSemiMixedTypes="0" containsString="0" containsNumber="1" minValue="83.11" maxValue="89.88" count="25">
        <n v="83.11"/>
        <n v="84.61"/>
        <n v="84.25"/>
        <n v="85.46"/>
        <n v="85.6"/>
        <n v="85.13"/>
        <n v="87.79"/>
        <n v="88.56"/>
        <n v="88.94"/>
        <n v="89.88"/>
        <n v="89.25"/>
        <n v="88.88"/>
        <n v="89.02"/>
        <n v="89.27"/>
        <n v="89.24"/>
        <n v="89.28"/>
        <n v="89.15"/>
        <n v="89"/>
        <n v="89.47"/>
        <n v="89.58"/>
        <n v="89.61"/>
        <n v="89.08"/>
        <n v="89.18"/>
        <n v="89.16"/>
        <n v="88.47"/>
      </sharedItems>
    </cacheField>
    <cacheField name="Female_Wage_Growth" numFmtId="0">
      <sharedItems containsSemiMixedTypes="0" containsString="0" containsNumber="1" minValue="79.7" maxValue="84.82" count="26">
        <n v="79.7"/>
        <n v="81.48"/>
        <n v="80.16"/>
        <n v="80.83"/>
        <n v="81.33"/>
        <n v="82.02"/>
        <n v="82.97"/>
        <n v="83.74"/>
        <n v="84.17"/>
        <n v="84.36"/>
        <n v="83.54"/>
        <n v="83.57"/>
        <n v="83.66"/>
        <n v="83.62"/>
        <n v="83.52"/>
        <n v="83.41"/>
        <n v="83.18"/>
        <n v="83.07"/>
        <n v="84.05"/>
        <n v="83.97"/>
        <n v="84.35"/>
        <n v="83.9"/>
        <n v="84.5"/>
        <n v="84.82"/>
        <n v="84.44"/>
        <n v="84"/>
      </sharedItems>
    </cacheField>
    <cacheField name="Exports" numFmtId="0">
      <sharedItems containsSemiMixedTypes="0" containsString="0" containsNumber="1" minValue="36.03" maxValue="77.48"/>
    </cacheField>
    <cacheField name="Imports" numFmtId="0">
      <sharedItems containsSemiMixedTypes="0" containsString="0" containsNumber="1" minValue="67.180000000000007" maxValue="159.84"/>
    </cacheField>
    <cacheField name="Exchange_Rate_Movement" numFmtId="0">
      <sharedItems containsSemiMixedTypes="0" containsString="0" containsNumber="1" minValue="0.48" maxValue="0.95"/>
    </cacheField>
    <cacheField name="FDI" numFmtId="0">
      <sharedItems containsSemiMixedTypes="0" containsString="0" containsNumber="1" minValue="-0.57999999999999996" maxValue="9.7799999999999994"/>
    </cacheField>
    <cacheField name="Gov_Expenditure" numFmtId="0">
      <sharedItems containsSemiMixedTypes="0" containsString="0" containsNumber="1" minValue="34.4" maxValue="44.6"/>
    </cacheField>
    <cacheField name="Budget_Deficit" numFmtId="0">
      <sharedItems containsSemiMixedTypes="0" containsString="0" containsNumber="1" minValue="-7.1" maxValue="0.6"/>
    </cacheField>
    <cacheField name="Public_Debt" numFmtId="0">
      <sharedItems containsSemiMixedTypes="0" containsString="0" containsNumber="1" minValue="9" maxValue="48.2"/>
    </cacheField>
    <cacheField name="Revenue_Taxation" numFmtId="0">
      <sharedItems containsSemiMixedTypes="0" containsString="0" containsNumber="1" minValue="21" maxValue="34.9"/>
    </cacheField>
  </cacheFields>
  <extLst>
    <ext xmlns:x14="http://schemas.microsoft.com/office/spreadsheetml/2009/9/main" uri="{725AE2AE-9491-48be-B2B4-4EB974FC3084}">
      <x14:pivotCacheDefinition pivotCacheId="5640777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x v="0"/>
    <n v="2.82"/>
    <n v="3.07"/>
    <n v="4.5"/>
    <n v="23.08"/>
    <n v="71.069999999999993"/>
    <n v="63.08"/>
    <n v="14.2"/>
    <n v="14.2"/>
    <n v="15"/>
    <n v="15.3"/>
    <n v="2.36"/>
    <n v="2.9"/>
    <n v="-2"/>
    <n v="4.0999999999999996"/>
    <n v="-2"/>
    <n v="13.79"/>
    <n v="42.32"/>
    <n v="47.59"/>
    <x v="0"/>
    <x v="0"/>
    <n v="36.03"/>
    <n v="82.15"/>
    <n v="0.57999999999999996"/>
    <n v="4.75"/>
    <n v="40.4"/>
    <n v="-3.5"/>
    <n v="14.8"/>
    <n v="21"/>
  </r>
  <r>
    <x v="1"/>
    <n v="5.84"/>
    <n v="6.09"/>
    <n v="4.09"/>
    <n v="23.05"/>
    <n v="71.06"/>
    <n v="62.6"/>
    <n v="12.5"/>
    <n v="12.5"/>
    <n v="28"/>
    <n v="36.5"/>
    <n v="2.65"/>
    <n v="2.4"/>
    <n v="-0.1"/>
    <n v="3.1"/>
    <n v="0.6"/>
    <n v="14.21"/>
    <n v="38.44"/>
    <n v="48.04"/>
    <x v="1"/>
    <x v="1"/>
    <n v="37.72"/>
    <n v="83.61"/>
    <n v="0.61"/>
    <n v="4.18"/>
    <n v="37"/>
    <n v="-2.6"/>
    <n v="15.1"/>
    <n v="23"/>
  </r>
  <r>
    <x v="2"/>
    <n v="6.46"/>
    <n v="7.08"/>
    <n v="4.07"/>
    <n v="23.01"/>
    <n v="72.02"/>
    <n v="63.3"/>
    <n v="11.1"/>
    <n v="11.1"/>
    <n v="21"/>
    <n v="48.2"/>
    <n v="2.4900000000000002"/>
    <n v="2.2000000000000002"/>
    <n v="3.8"/>
    <n v="2"/>
    <n v="0.2"/>
    <n v="13.82"/>
    <n v="37.4"/>
    <n v="48.77"/>
    <x v="2"/>
    <x v="2"/>
    <n v="38.799999999999997"/>
    <n v="88.18"/>
    <n v="0.62"/>
    <n v="2.12"/>
    <n v="35"/>
    <n v="-2"/>
    <n v="17.8"/>
    <n v="25"/>
  </r>
  <r>
    <x v="3"/>
    <n v="7.67"/>
    <n v="8.09"/>
    <n v="4.07"/>
    <n v="22.08"/>
    <n v="72.05"/>
    <n v="63.9"/>
    <n v="8.8000000000000007"/>
    <n v="8.8000000000000007"/>
    <n v="21"/>
    <n v="41.1"/>
    <n v="1.94"/>
    <n v="2"/>
    <n v="1.5"/>
    <n v="1.8"/>
    <n v="1"/>
    <n v="13.83"/>
    <n v="37.85"/>
    <n v="48.74"/>
    <x v="3"/>
    <x v="3"/>
    <n v="37.76"/>
    <n v="85.98"/>
    <n v="0.61"/>
    <n v="1.73"/>
    <n v="35.4"/>
    <n v="-2.6"/>
    <n v="15.4"/>
    <n v="24"/>
  </r>
  <r>
    <x v="4"/>
    <n v="8.43"/>
    <n v="9.0500000000000007"/>
    <n v="4.03"/>
    <n v="22.01"/>
    <n v="73.06"/>
    <n v="64.900000000000006"/>
    <n v="7.4"/>
    <n v="7.4"/>
    <n v="19"/>
    <n v="52.5"/>
    <n v="2.94"/>
    <n v="2.1"/>
    <n v="2.4"/>
    <n v="3"/>
    <n v="3.2"/>
    <n v="12.06"/>
    <n v="38.869999999999997"/>
    <n v="48.94"/>
    <x v="4"/>
    <x v="4"/>
    <n v="37.74"/>
    <n v="88.58"/>
    <n v="0.56999999999999995"/>
    <n v="2.82"/>
    <n v="34.4"/>
    <n v="-1.7"/>
    <n v="15.4"/>
    <n v="23"/>
  </r>
  <r>
    <x v="5"/>
    <n v="8.73"/>
    <n v="9.09"/>
    <n v="4.05"/>
    <n v="21.05"/>
    <n v="74"/>
    <n v="64.7"/>
    <n v="6.9"/>
    <n v="6.9"/>
    <n v="27"/>
    <n v="46"/>
    <n v="6.19"/>
    <n v="4.4000000000000004"/>
    <n v="9"/>
    <n v="4.9000000000000004"/>
    <n v="6.5"/>
    <n v="11.71"/>
    <n v="36.97"/>
    <n v="48.54"/>
    <x v="5"/>
    <x v="5"/>
    <n v="40.630000000000003"/>
    <n v="97.24"/>
    <n v="0.54"/>
    <n v="4.28"/>
    <n v="34.799999999999997"/>
    <n v="-1"/>
    <n v="15.3"/>
    <n v="23"/>
  </r>
  <r>
    <x v="6"/>
    <n v="11.62"/>
    <n v="12.08"/>
    <n v="4.0199999999999996"/>
    <n v="21.03"/>
    <n v="74.05"/>
    <n v="65.3"/>
    <n v="5.5"/>
    <n v="5.5"/>
    <n v="38"/>
    <n v="62.7"/>
    <n v="6.75"/>
    <n v="5.0999999999999996"/>
    <n v="8.8000000000000007"/>
    <n v="5.9"/>
    <n v="8.5"/>
    <n v="10.029999999999999"/>
    <n v="38.049999999999997"/>
    <n v="48.49"/>
    <x v="6"/>
    <x v="6"/>
    <n v="44.81"/>
    <n v="104.52"/>
    <n v="0.56000000000000005"/>
    <n v="4.97"/>
    <n v="35.799999999999997"/>
    <n v="-1.1000000000000001"/>
    <n v="12.5"/>
    <n v="24"/>
  </r>
  <r>
    <x v="7"/>
    <n v="12.83"/>
    <n v="13.09"/>
    <n v="3.06"/>
    <n v="20.09"/>
    <n v="75.05"/>
    <n v="67.2"/>
    <n v="6.2"/>
    <n v="6.2"/>
    <n v="41"/>
    <n v="57"/>
    <n v="6.54"/>
    <n v="5.8"/>
    <n v="9.5"/>
    <n v="5.4"/>
    <n v="10"/>
    <n v="7.03"/>
    <n v="40.9"/>
    <n v="48.47"/>
    <x v="7"/>
    <x v="7"/>
    <n v="41.95"/>
    <n v="105.7"/>
    <n v="0.56000000000000005"/>
    <n v="8.35"/>
    <n v="35.5"/>
    <n v="-0.5"/>
    <n v="10.7"/>
    <n v="25"/>
  </r>
  <r>
    <x v="8"/>
    <n v="10.41"/>
    <n v="11.03"/>
    <n v="3.03"/>
    <n v="20.059999999999999"/>
    <n v="76.010000000000005"/>
    <n v="66.3"/>
    <n v="8.5"/>
    <n v="8.5"/>
    <n v="13"/>
    <n v="34.200000000000003"/>
    <n v="10.09"/>
    <n v="9"/>
    <n v="12.3"/>
    <n v="9.1"/>
    <n v="15"/>
    <n v="6.05"/>
    <n v="42.64"/>
    <n v="48.29"/>
    <x v="8"/>
    <x v="8"/>
    <n v="40.39"/>
    <n v="100.88"/>
    <n v="0.51"/>
    <n v="9.2200000000000006"/>
    <n v="34.799999999999997"/>
    <n v="0.6"/>
    <n v="9"/>
    <n v="26"/>
  </r>
  <r>
    <x v="9"/>
    <n v="-3.39"/>
    <n v="-2.04"/>
    <n v="3.01"/>
    <n v="20.079999999999998"/>
    <n v="76.010000000000005"/>
    <n v="64.099999999999994"/>
    <n v="11.4"/>
    <n v="11.4"/>
    <n v="-2"/>
    <n v="12.3"/>
    <n v="15.04"/>
    <n v="13.5"/>
    <n v="19.5"/>
    <n v="13.1"/>
    <n v="12"/>
    <n v="7.74"/>
    <n v="42.87"/>
    <n v="48.98"/>
    <x v="9"/>
    <x v="9"/>
    <n v="41.23"/>
    <n v="95.77"/>
    <n v="0.48"/>
    <n v="4.2"/>
    <n v="38.200000000000003"/>
    <n v="-3.3"/>
    <n v="19.3"/>
    <n v="26"/>
  </r>
  <r>
    <x v="10"/>
    <n v="-16.04"/>
    <n v="-14.06"/>
    <n v="3.04"/>
    <n v="20.02"/>
    <n v="76.040000000000006"/>
    <n v="61.3"/>
    <n v="14.8"/>
    <n v="14.8"/>
    <n v="-5"/>
    <n v="-7.4"/>
    <n v="3.53"/>
    <n v="3.8"/>
    <n v="2.1"/>
    <n v="1.4"/>
    <n v="-3.5"/>
    <n v="17.52"/>
    <n v="41.25"/>
    <n v="49.8"/>
    <x v="10"/>
    <x v="10"/>
    <n v="43.4"/>
    <n v="88.83"/>
    <n v="0.51"/>
    <n v="-0.57999999999999996"/>
    <n v="43.6"/>
    <n v="-7.1"/>
    <n v="37.6"/>
    <n v="24"/>
  </r>
  <r>
    <x v="11"/>
    <n v="-3.66"/>
    <n v="-1.06"/>
    <n v="4.01"/>
    <n v="22.06"/>
    <n v="73.03"/>
    <n v="61.6"/>
    <n v="9.1999999999999993"/>
    <n v="9.1999999999999993"/>
    <n v="7"/>
    <n v="-8.8000000000000007"/>
    <n v="-1.08"/>
    <n v="-2.5"/>
    <n v="1"/>
    <n v="-2.2000000000000002"/>
    <n v="1.4"/>
    <n v="19.48"/>
    <n v="39.75"/>
    <n v="50.39"/>
    <x v="11"/>
    <x v="11"/>
    <n v="54.37"/>
    <n v="110.86"/>
    <n v="0.53"/>
    <n v="2.02"/>
    <n v="43.6"/>
    <n v="-6.6"/>
    <n v="48.2"/>
    <n v="23"/>
  </r>
  <r>
    <x v="12"/>
    <n v="3.04"/>
    <n v="4.09"/>
    <n v="4.03"/>
    <n v="24"/>
    <n v="71.069999999999993"/>
    <n v="61.4"/>
    <n v="6.4"/>
    <n v="6.4"/>
    <n v="2"/>
    <n v="-11.2"/>
    <n v="4.37"/>
    <n v="2.6"/>
    <n v="7.9"/>
    <n v="4.0999999999999996"/>
    <n v="8.1999999999999993"/>
    <n v="16.21"/>
    <n v="37.479999999999997"/>
    <n v="49.94"/>
    <x v="12"/>
    <x v="12"/>
    <n v="61.8"/>
    <n v="129.72999999999999"/>
    <n v="0.51"/>
    <n v="5.72"/>
    <n v="41.2"/>
    <n v="-3.4"/>
    <n v="46.8"/>
    <n v="24"/>
  </r>
  <r>
    <x v="13"/>
    <n v="7.31"/>
    <n v="8.06"/>
    <n v="4.05"/>
    <n v="24.03"/>
    <n v="71.02"/>
    <n v="62.4"/>
    <n v="5.0999999999999996"/>
    <n v="5.0999999999999996"/>
    <n v="6"/>
    <n v="-6.5"/>
    <n v="2.2599999999999998"/>
    <n v="1.6"/>
    <n v="2.2000000000000002"/>
    <n v="2.5"/>
    <n v="3.8"/>
    <n v="15.05"/>
    <n v="40.15"/>
    <n v="50.01"/>
    <x v="13"/>
    <x v="13"/>
    <n v="63.83"/>
    <n v="133.21"/>
    <n v="0.54"/>
    <n v="3.99"/>
    <n v="38.6"/>
    <n v="0.2"/>
    <n v="44.4"/>
    <n v="24"/>
  </r>
  <r>
    <x v="14"/>
    <n v="2.0099999999999998"/>
    <n v="3.02"/>
    <n v="4.01"/>
    <n v="23.08"/>
    <n v="72.010000000000005"/>
    <n v="62.1"/>
    <n v="4.3"/>
    <n v="4.3"/>
    <n v="13"/>
    <n v="-5.2"/>
    <n v="-0.03"/>
    <n v="0.3"/>
    <n v="1.2"/>
    <n v="-1.1000000000000001"/>
    <n v="0.7"/>
    <n v="11.87"/>
    <n v="39.369999999999997"/>
    <n v="49.99"/>
    <x v="14"/>
    <x v="14"/>
    <n v="62.58"/>
    <n v="129.68"/>
    <n v="0.53"/>
    <n v="3.39"/>
    <n v="38.700000000000003"/>
    <n v="-0.6"/>
    <n v="41.8"/>
    <n v="25"/>
  </r>
  <r>
    <x v="15"/>
    <n v="2.09"/>
    <n v="3.01"/>
    <n v="3.07"/>
    <n v="23.04"/>
    <n v="72.09"/>
    <n v="61.3"/>
    <n v="3.8"/>
    <n v="3.8"/>
    <n v="8.02"/>
    <n v="-4.0999999999999996"/>
    <n v="0.62"/>
    <n v="0.9"/>
    <n v="0.4"/>
    <n v="0.8"/>
    <n v="-0.3"/>
    <n v="10.85"/>
    <n v="40.43"/>
    <n v="49.59"/>
    <x v="15"/>
    <x v="15"/>
    <n v="63.57"/>
    <n v="130.04"/>
    <n v="0.75"/>
    <n v="3.45"/>
    <n v="39.200000000000003"/>
    <n v="-1.7"/>
    <n v="43.1"/>
    <n v="26"/>
  </r>
  <r>
    <x v="16"/>
    <n v="3.78"/>
    <n v="4.0599999999999996"/>
    <n v="3.09"/>
    <n v="23.03"/>
    <n v="72.08"/>
    <n v="60.8"/>
    <n v="3.5"/>
    <n v="3.5"/>
    <n v="8.0399999999999991"/>
    <n v="-2.8"/>
    <n v="0.17"/>
    <n v="1.2"/>
    <n v="-0.3"/>
    <n v="-0.1"/>
    <n v="-1.1000000000000001"/>
    <n v="9.8699999999999992"/>
    <n v="41.29"/>
    <n v="49.56"/>
    <x v="16"/>
    <x v="16"/>
    <n v="62.6"/>
    <n v="126.38"/>
    <n v="0.91"/>
    <n v="3.09"/>
    <n v="38.700000000000003"/>
    <n v="-1.6"/>
    <n v="38.299999999999997"/>
    <n v="26"/>
  </r>
  <r>
    <x v="17"/>
    <n v="2.5499999999999998"/>
    <n v="3.05"/>
    <n v="3.09"/>
    <n v="24.01"/>
    <n v="72"/>
    <n v="61.5"/>
    <n v="3.2"/>
    <n v="3.2"/>
    <n v="6.08"/>
    <n v="-1.5"/>
    <n v="0.14000000000000001"/>
    <n v="1"/>
    <n v="-0.7"/>
    <n v="-0.6"/>
    <n v="-1.7"/>
    <n v="9.64"/>
    <n v="39.700000000000003"/>
    <n v="50.08"/>
    <x v="17"/>
    <x v="17"/>
    <n v="61.93"/>
    <n v="123.33"/>
    <n v="0.91"/>
    <n v="1.24"/>
    <n v="37.4"/>
    <n v="-0.5"/>
    <n v="41.7"/>
    <n v="27"/>
  </r>
  <r>
    <x v="18"/>
    <n v="3.04"/>
    <n v="4.03"/>
    <n v="3.09"/>
    <n v="22.04"/>
    <n v="73.069999999999993"/>
    <n v="61.3"/>
    <n v="2.9"/>
    <n v="2.9"/>
    <n v="3.02"/>
    <n v="0.2"/>
    <n v="2.93"/>
    <n v="1.9"/>
    <n v="4.9000000000000004"/>
    <n v="2.2000000000000002"/>
    <n v="3.2"/>
    <n v="8.7200000000000006"/>
    <n v="39.76"/>
    <n v="49.89"/>
    <x v="18"/>
    <x v="18"/>
    <n v="64.14"/>
    <n v="128.71"/>
    <n v="0.88"/>
    <n v="4.05"/>
    <n v="37.799999999999997"/>
    <n v="-0.9"/>
    <n v="40.299999999999997"/>
    <n v="28"/>
  </r>
  <r>
    <x v="19"/>
    <n v="4.3099999999999996"/>
    <n v="5.01"/>
    <n v="3.07"/>
    <n v="22.09"/>
    <n v="73.040000000000006"/>
    <n v="61.1"/>
    <n v="2.8"/>
    <n v="2.8"/>
    <n v="13.08"/>
    <n v="1.8"/>
    <n v="2.5299999999999998"/>
    <n v="2"/>
    <n v="1.3"/>
    <n v="3.1"/>
    <n v="4.3"/>
    <n v="7.41"/>
    <n v="37.729999999999997"/>
    <n v="49.89"/>
    <x v="19"/>
    <x v="19"/>
    <n v="63.87"/>
    <n v="128.22999999999999"/>
    <n v="0.85"/>
    <n v="1.32"/>
    <n v="39.4"/>
    <n v="-0.8"/>
    <n v="38.299999999999997"/>
    <n v="28"/>
  </r>
  <r>
    <x v="20"/>
    <n v="0.68"/>
    <n v="1.04"/>
    <n v="3.09"/>
    <n v="22.01"/>
    <n v="74"/>
    <n v="61"/>
    <n v="2.9"/>
    <n v="2.9"/>
    <n v="8"/>
    <n v="2.1"/>
    <n v="2.81"/>
    <n v="2.4"/>
    <n v="4.4000000000000004"/>
    <n v="1.8"/>
    <n v="1.1000000000000001"/>
    <n v="6.31"/>
    <n v="36.299999999999997"/>
    <n v="49.85"/>
    <x v="20"/>
    <x v="20"/>
    <n v="62.54"/>
    <n v="125.29"/>
    <n v="0.89"/>
    <n v="3.37"/>
    <n v="39"/>
    <n v="-0.4"/>
    <n v="37.9"/>
    <n v="29"/>
  </r>
  <r>
    <x v="21"/>
    <n v="-3.47"/>
    <n v="-2.08"/>
    <n v="4.01"/>
    <n v="22.05"/>
    <n v="73.040000000000006"/>
    <n v="58.7"/>
    <n v="3.1"/>
    <n v="3.1"/>
    <n v="13.01"/>
    <n v="-1.1000000000000001"/>
    <n v="0.22"/>
    <n v="0.8"/>
    <n v="1.8"/>
    <n v="-1.3"/>
    <n v="-1.5"/>
    <n v="8.1"/>
    <n v="34.840000000000003"/>
    <n v="49.73"/>
    <x v="21"/>
    <x v="21"/>
    <n v="62.66"/>
    <n v="123.88"/>
    <n v="0.87"/>
    <n v="2.81"/>
    <n v="42.6"/>
    <n v="-3.9"/>
    <n v="44"/>
    <n v="30"/>
  </r>
  <r>
    <x v="22"/>
    <n v="6.94"/>
    <n v="7.08"/>
    <n v="4.0199999999999996"/>
    <n v="23.05"/>
    <n v="72.03"/>
    <n v="59.5"/>
    <n v="2.8"/>
    <n v="2.8"/>
    <n v="7.09"/>
    <n v="3.2"/>
    <n v="3.28"/>
    <n v="2"/>
    <n v="2.5"/>
    <n v="4.8"/>
    <n v="13.5"/>
    <n v="7.51"/>
    <n v="32.71"/>
    <n v="49.39"/>
    <x v="15"/>
    <x v="22"/>
    <n v="66.81"/>
    <n v="136.80000000000001"/>
    <n v="0.84"/>
    <n v="9.7799999999999994"/>
    <n v="44.6"/>
    <n v="-5.7"/>
    <n v="45.9"/>
    <n v="31"/>
  </r>
  <r>
    <x v="23"/>
    <n v="1.81"/>
    <n v="2.0099999999999998"/>
    <n v="4.03"/>
    <n v="22.08"/>
    <n v="72.09"/>
    <n v="64.099999999999994"/>
    <n v="4.2"/>
    <n v="4.2"/>
    <n v="6.04"/>
    <n v="7.5"/>
    <n v="17.309999999999999"/>
    <n v="9.5"/>
    <n v="21"/>
    <n v="25.4"/>
    <n v="34"/>
    <n v="6.82"/>
    <n v="36.14"/>
    <n v="49.67"/>
    <x v="22"/>
    <x v="23"/>
    <n v="77.48"/>
    <n v="159.84"/>
    <n v="0.95"/>
    <n v="3.2"/>
    <n v="43.5"/>
    <n v="-3.9"/>
    <n v="44.4"/>
    <n v="32"/>
  </r>
  <r>
    <x v="24"/>
    <n v="2.85"/>
    <n v="3"/>
    <n v="3.09"/>
    <n v="21.05"/>
    <n v="74.06"/>
    <n v="62.7"/>
    <n v="5.8"/>
    <n v="5.8"/>
    <n v="2.0299999999999998"/>
    <n v="4.5999999999999996"/>
    <n v="8.94"/>
    <n v="10"/>
    <n v="11"/>
    <n v="10.199999999999999"/>
    <n v="-4"/>
    <n v="6.47"/>
    <n v="34.94"/>
    <n v="49.7"/>
    <x v="23"/>
    <x v="24"/>
    <n v="66.459999999999994"/>
    <n v="136.63"/>
    <n v="0.92"/>
    <n v="3.97"/>
    <n v="43.1"/>
    <n v="-3.4"/>
    <n v="44.6"/>
    <n v="33"/>
  </r>
  <r>
    <x v="25"/>
    <n v="-0.44"/>
    <n v="0.04"/>
    <n v="4.01"/>
    <n v="21.02"/>
    <n v="74.069999999999993"/>
    <n v="62.1"/>
    <n v="4.8"/>
    <n v="4.8"/>
    <n v="6.06"/>
    <n v="5.5"/>
    <n v="1.24"/>
    <n v="3.6"/>
    <n v="2.8"/>
    <n v="0.5"/>
    <n v="-3.8"/>
    <n v="6.72"/>
    <n v="34.700000000000003"/>
    <n v="49.84"/>
    <x v="24"/>
    <x v="25"/>
    <n v="64.62"/>
    <n v="67.180000000000007"/>
    <n v="0.93"/>
    <n v="2.96"/>
    <n v="44.5"/>
    <n v="-1.8"/>
    <n v="46.6"/>
    <n v="3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0BA0B6-E3D3-497A-839A-324DD46C8AD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6:C63" firstHeaderRow="0" firstDataRow="1" firstDataCol="1"/>
  <pivotFields count="29">
    <pivotField axis="axisRow"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Fields count="1">
    <field x="-2"/>
  </colFields>
  <colItems count="2">
    <i>
      <x/>
    </i>
    <i i="1">
      <x v="1"/>
    </i>
  </colItems>
  <dataFields count="2">
    <dataField name="Sum of Male_Wage_Growth" fld="19" baseField="0" baseItem="0"/>
    <dataField name="Sum of Female_Wage_Growth"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A0E209-3EA1-4973-9FD1-EFD8DB915AD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K14" firstHeaderRow="0" firstDataRow="1" firstDataCol="1"/>
  <pivotFields count="29">
    <pivotField axis="axisRow" showAll="0">
      <items count="27">
        <item h="1" x="0"/>
        <item h="1" x="1"/>
        <item h="1" x="2"/>
        <item h="1" x="3"/>
        <item h="1" x="4"/>
        <item h="1" x="5"/>
        <item x="6"/>
        <item x="7"/>
        <item x="8"/>
        <item x="9"/>
        <item x="10"/>
        <item x="11"/>
        <item x="12"/>
        <item x="13"/>
        <item x="14"/>
        <item x="15"/>
        <item h="1" x="16"/>
        <item h="1" x="17"/>
        <item h="1" x="18"/>
        <item h="1" x="19"/>
        <item h="1" x="20"/>
        <item h="1" x="21"/>
        <item h="1" x="22"/>
        <item h="1" x="23"/>
        <item h="1" x="24"/>
        <item h="1" x="25"/>
        <item t="default"/>
      </items>
    </pivotField>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s>
  <rowFields count="1">
    <field x="0"/>
  </rowFields>
  <rowItems count="11">
    <i>
      <x v="6"/>
    </i>
    <i>
      <x v="7"/>
    </i>
    <i>
      <x v="8"/>
    </i>
    <i>
      <x v="9"/>
    </i>
    <i>
      <x v="10"/>
    </i>
    <i>
      <x v="11"/>
    </i>
    <i>
      <x v="12"/>
    </i>
    <i>
      <x v="13"/>
    </i>
    <i>
      <x v="14"/>
    </i>
    <i>
      <x v="15"/>
    </i>
    <i t="grand">
      <x/>
    </i>
  </rowItems>
  <colFields count="1">
    <field x="-2"/>
  </colFields>
  <colItems count="10">
    <i>
      <x/>
    </i>
    <i i="1">
      <x v="1"/>
    </i>
    <i i="2">
      <x v="2"/>
    </i>
    <i i="3">
      <x v="3"/>
    </i>
    <i i="4">
      <x v="4"/>
    </i>
    <i i="5">
      <x v="5"/>
    </i>
    <i i="6">
      <x v="6"/>
    </i>
    <i i="7">
      <x v="7"/>
    </i>
    <i i="8">
      <x v="8"/>
    </i>
    <i i="9">
      <x v="9"/>
    </i>
  </colItems>
  <dataFields count="10">
    <dataField name="Sum of Real_GDP_Growth" fld="1" baseField="0" baseItem="0"/>
    <dataField name="Sum of GDP_Per_Capita_Growth" fld="2" baseField="0" baseItem="0"/>
    <dataField name="Sum of Male_Wage_Growth" fld="19" baseField="0" baseItem="0"/>
    <dataField name="Sum of Female_Wage_Growth" fld="20" baseField="0" baseItem="0"/>
    <dataField name="Sum of Exports" fld="21" baseField="0" baseItem="0"/>
    <dataField name="Sum of Imports" fld="22" baseField="0" baseItem="0"/>
    <dataField name="Sum of Agriculture" fld="3" baseField="0" baseItem="0"/>
    <dataField name="Sum of Industry" fld="4" baseField="0" baseItem="0"/>
    <dataField name="Sum of Services" fld="5" baseField="0" baseItem="0"/>
    <dataField name="Sum of Consumption_Contribution"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9203FC-2AE1-44DB-BB6E-02F5767B1C7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3:Y30" firstHeaderRow="0" firstDataRow="1" firstDataCol="1"/>
  <pivotFields count="29">
    <pivotField axis="axisRow"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Fields count="1">
    <field x="-2"/>
  </colFields>
  <colItems count="2">
    <i>
      <x/>
    </i>
    <i i="1">
      <x v="1"/>
    </i>
  </colItems>
  <dataFields count="2">
    <dataField name="Sum of Real_GDP_Growth" fld="1" baseField="0" baseItem="0"/>
    <dataField name="Sum of GDP_Per_Capita_Growth"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E7F4F7-AD13-4176-8C21-8A1A2954BF0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6:C93" firstHeaderRow="0" firstDataRow="1" firstDataCol="1"/>
  <pivotFields count="29">
    <pivotField axis="axisRow"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Fields count="1">
    <field x="-2"/>
  </colFields>
  <colItems count="2">
    <i>
      <x/>
    </i>
    <i i="1">
      <x v="1"/>
    </i>
  </colItems>
  <dataFields count="2">
    <dataField name="Sum of Exports" fld="21" baseField="0" baseItem="0"/>
    <dataField name="Sum of Imports"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32EC356-10C3-4F22-9FDC-931848EAA818}" sourceName="Year">
  <pivotTables>
    <pivotTable tabId="20" name="PivotTable1"/>
  </pivotTables>
  <data>
    <tabular pivotCacheId="564077700">
      <items count="26">
        <i x="0"/>
        <i x="1"/>
        <i x="2"/>
        <i x="3"/>
        <i x="4"/>
        <i x="5"/>
        <i x="6" s="1"/>
        <i x="7" s="1"/>
        <i x="8" s="1"/>
        <i x="9" s="1"/>
        <i x="10" s="1"/>
        <i x="11" s="1"/>
        <i x="12" s="1"/>
        <i x="13" s="1"/>
        <i x="14" s="1"/>
        <i x="15" s="1"/>
        <i x="16"/>
        <i x="17"/>
        <i x="18"/>
        <i x="19"/>
        <i x="20"/>
        <i x="21"/>
        <i x="22"/>
        <i x="23"/>
        <i x="24"/>
        <i x="2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0906AF6-2FB2-4279-8B7C-DF0D971B3FDB}" cache="Slicer_Year" caption="Year" columnCount="13" showCaption="0" style="SlicerStyleLight1 2 2 4" rowHeight="4572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A71D45D7-4E7B-4858-B560-B7AB6B2B2D10}" cache="Slicer_Year" caption="Year" columnCount="13" showCaption="0" style="SlicerStyleLight1 2 2 4" rowHeight="4572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2F70E3FB-CDA6-4E36-A25C-BB366BA22899}" cache="Slicer_Year" caption="Year" columnCount="13" showCaption="0" style="SlicerStyleLight1 2 2 4" rowHeight="4572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32ACC6AF-8041-4CBD-9CA6-8C4F3C792470}" cache="Slicer_Year" caption="Year" columnCount="13" showCaption="0" style="SlicerStyleLight1 2 2 4" rowHeight="4572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4" xr10:uid="{16FE4EED-B450-4925-8DA0-06083BD82215}" cache="Slicer_Year" caption="Year" columnCount="13" showCaption="0" style="SlicerStyleLight1 2 2 4" rowHeight="4572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5" xr10:uid="{483A63DD-1EF0-4630-BC10-BA6750FE8276}" cache="Slicer_Year" caption="Year" columnCount="13" showCaption="0" style="SlicerStyleLight1 2 2 4" rowHeight="4572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6" xr10:uid="{2EED68E2-2B3E-48C3-A1A0-3225373B6577}" cache="Slicer_Year" caption="Year" columnCount="13" showCaption="0" style="SlicerStyleLight1 2 2 4" rowHeight="45720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7" xr10:uid="{1E5D0A67-4744-4447-B91E-8C2AE95FC248}" cache="Slicer_Year" caption="Year" columnCount="13" showCaption="0" style="SlicerStyleLight1 2 2 4"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BA0F34C-7D52-4B4A-BD7C-ABDEA4BB021D}" name="Table2" displayName="Table2" ref="AJ1:AL27" totalsRowShown="0">
  <autoFilter ref="AJ1:AL27" xr:uid="{FBA0F34C-7D52-4B4A-BD7C-ABDEA4BB021D}"/>
  <tableColumns count="3">
    <tableColumn id="1" xr3:uid="{CD61DC21-84C7-4999-BE05-2F356F7A1215}" name="Year" dataDxfId="62">
      <calculatedColumnFormula>MacroData[[#This Row],[Year]]</calculatedColumnFormula>
    </tableColumn>
    <tableColumn id="2" xr3:uid="{AA3D83CC-851D-4610-9E39-89E28D4557F4}" name="Policy Interest Rate" dataDxfId="61">
      <calculatedColumnFormula>MacroData[[#This Row],[Policy_Interest_Rate]]</calculatedColumnFormula>
    </tableColumn>
    <tableColumn id="3" xr3:uid="{0C1D7218-1E37-4768-8CEA-DA78BD467D10}" name="Market Interest Rate" dataDxfId="60">
      <calculatedColumnFormula>MacroData[[#This Row],[Market_Interest_Rate]]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F99BBDB-64BB-4D4B-A370-94AB249F5835}" name="InflationTable" displayName="InflationTable" ref="AR1:AW27" totalsRowShown="0">
  <autoFilter ref="AR1:AW27" xr:uid="{0F99BBDB-64BB-4D4B-A370-94AB249F5835}"/>
  <tableColumns count="6">
    <tableColumn id="1" xr3:uid="{ACC78B02-9263-421C-A61B-A97627FB6020}" name="Year" dataDxfId="59">
      <calculatedColumnFormula>MacroData[[#This Row],[Year]]</calculatedColumnFormula>
    </tableColumn>
    <tableColumn id="2" xr3:uid="{EACA0E53-A0AE-45D2-BB3A-4B0F37860643}" name="Headline Inflation" dataDxfId="58">
      <calculatedColumnFormula>MacroData[[#This Row],[Headline_Inflation]]</calculatedColumnFormula>
    </tableColumn>
    <tableColumn id="3" xr3:uid="{3596F236-B4AA-4128-8411-28C69405593A}" name="Core Inflation" dataDxfId="57">
      <calculatedColumnFormula>MacroData[[#This Row],[Core_Inflation]]</calculatedColumnFormula>
    </tableColumn>
    <tableColumn id="4" xr3:uid="{9A2B263B-18B8-4294-85BA-A5A1483ABE8B}" name="Food Inflation" dataDxfId="56">
      <calculatedColumnFormula>MacroData[[#This Row],[Food_Inflation]]</calculatedColumnFormula>
    </tableColumn>
    <tableColumn id="5" xr3:uid="{14974D30-C232-468B-859B-B0629DB60B8F}" name="Non-Food Inflation" dataDxfId="55">
      <calculatedColumnFormula>MacroData[[#This Row],[Non_Food_Inflation]]</calculatedColumnFormula>
    </tableColumn>
    <tableColumn id="6" xr3:uid="{DE0F1ACE-4352-4B51-9D62-4483D45293A3}" name="PPI" dataDxfId="21">
      <calculatedColumnFormula>MacroData[[#This Row],[PPI]]</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E62295F-FDEF-4891-AD06-BEC5038541ED}" name="LabourTable" displayName="LabourTable" ref="BB1:BH27" totalsRowShown="0" headerRowDxfId="20">
  <autoFilter ref="BB1:BH27" xr:uid="{6E62295F-FDEF-4891-AD06-BEC5038541ED}"/>
  <tableColumns count="7">
    <tableColumn id="1" xr3:uid="{CD24B9FF-CDBE-414A-B14E-50439A860A1C}" name="Year" dataDxfId="19">
      <calculatedColumnFormula>MacroData[[#This Row],[Year]]</calculatedColumnFormula>
    </tableColumn>
    <tableColumn id="2" xr3:uid="{11783F46-D95B-496E-9778-08D13EE1CF03}" name="Unemployment_Rate" dataDxfId="18">
      <calculatedColumnFormula>MacroData[[#This Row],[Unemployment_Rate]]</calculatedColumnFormula>
    </tableColumn>
    <tableColumn id="3" xr3:uid="{3E591BF5-DAFB-45B4-87AA-EA05CB1D3DEC}" name="Labour_Force_Part_Rate" dataDxfId="17">
      <calculatedColumnFormula>MacroData[[#This Row],[Labour_Force_Part_Rate]]</calculatedColumnFormula>
    </tableColumn>
    <tableColumn id="4" xr3:uid="{9D117B3B-4D9E-4715-90B8-EFC5ACC9A783}" name="Female_LFPR" dataDxfId="16">
      <calculatedColumnFormula>MacroData[[#This Row],[Female_LFPR]]</calculatedColumnFormula>
    </tableColumn>
    <tableColumn id="5" xr3:uid="{69233352-C77F-4C6B-82AA-070EA4CF0104}" name="Male_Wage_Growth" dataDxfId="15">
      <calculatedColumnFormula>INDEX(MacroData[Male_Wage_Growth],
MATCH(Control!A4, MacroData[Year],0))</calculatedColumnFormula>
    </tableColumn>
    <tableColumn id="6" xr3:uid="{1710BFDA-AAAF-4AA8-8123-7C92B9BBA889}" name="Female_Wage_Growth" dataDxfId="14">
      <calculatedColumnFormula>INDEX(MacroData[Female_Wage_Growth],
MATCH(Control!A4, MacroData[Year],0))</calculatedColumnFormula>
    </tableColumn>
    <tableColumn id="7" xr3:uid="{E843AA36-42A2-4024-8208-08FB912C95E0}" name="Wage Gap" dataDxfId="13">
      <calculatedColumnFormula>INDEX(MacroData[Male_Wage_Growth],
MATCH(Control!A4, MacroData[Year],0))
-
INDEX(MacroData[Female_Wage_Growth],
MATCH(Control!A4, MacroData[Year],0))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D6C7585-5D08-4C8C-975B-FDBAA12CB278}" name="Table5" displayName="Table5" ref="BJ1:BO27" totalsRowShown="0" headerRowDxfId="12">
  <autoFilter ref="BJ1:BO27" xr:uid="{9D6C7585-5D08-4C8C-975B-FDBAA12CB278}"/>
  <tableColumns count="6">
    <tableColumn id="1" xr3:uid="{3DBB0383-D531-4A59-B448-0498A41FB7EF}" name="Year" dataDxfId="11">
      <calculatedColumnFormula>MacroData[[#This Row],[Year]]</calculatedColumnFormula>
    </tableColumn>
    <tableColumn id="2" xr3:uid="{7ADE3E97-49DD-45F7-B723-838FF3BE1364}" name="Exports" dataDxfId="10">
      <calculatedColumnFormula>MacroData[[#This Row],[Exports]]</calculatedColumnFormula>
    </tableColumn>
    <tableColumn id="3" xr3:uid="{68D0BE73-AF5F-4F87-827D-7BFD76E0D917}" name="Imports" dataDxfId="9">
      <calculatedColumnFormula>MacroData[[#This Row],[Imports]]</calculatedColumnFormula>
    </tableColumn>
    <tableColumn id="4" xr3:uid="{7C636BBB-BD5A-45C4-8394-E7EE87FC1D2F}" name="Exchange_Rate_Movement" dataDxfId="8">
      <calculatedColumnFormula>MacroData[[#This Row],[Exchange_Rate_Movement]]</calculatedColumnFormula>
    </tableColumn>
    <tableColumn id="5" xr3:uid="{08861C9E-4803-43E3-9EDA-D7C586A26CB7}" name="FDI" dataDxfId="7">
      <calculatedColumnFormula>MacroData[[#This Row],[FDI]]</calculatedColumnFormula>
    </tableColumn>
    <tableColumn id="6" xr3:uid="{0643F1CD-9E19-4933-98E3-32C1F7F856BF}" name="Trade Balance" dataDxfId="6">
      <calculatedColumnFormula>Table5[[#This Row],[Exports]] - Table5[[#This Row],[Imports]]</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2B4127D-32B3-48EA-A01C-12FBD04B4FEF}" name="Table6" displayName="Table6" ref="BS1:BW27" totalsRowShown="0" headerRowDxfId="5">
  <autoFilter ref="BS1:BW27" xr:uid="{C2B4127D-32B3-48EA-A01C-12FBD04B4FEF}"/>
  <tableColumns count="5">
    <tableColumn id="1" xr3:uid="{6BB77DAD-9D0E-4BCD-8778-6784C2EFFB91}" name="Year" dataDxfId="4">
      <calculatedColumnFormula>MacroData[[#This Row],[Year]]</calculatedColumnFormula>
    </tableColumn>
    <tableColumn id="2" xr3:uid="{6CDBC341-D160-4586-9953-8A9CBF6F521C}" name="Gov_Expenditure" dataDxfId="3">
      <calculatedColumnFormula>MacroData[[#This Row],[Gov_Expenditure]]</calculatedColumnFormula>
    </tableColumn>
    <tableColumn id="3" xr3:uid="{34943D9D-0086-40E5-AB04-4E37C15A574D}" name="Budget_Deficit" dataDxfId="2">
      <calculatedColumnFormula>MacroData[[#This Row],[Budget_Deficit]]</calculatedColumnFormula>
    </tableColumn>
    <tableColumn id="4" xr3:uid="{2B53C157-DF64-4F34-808A-EBA98228F269}" name="Public_Debt" dataDxfId="1">
      <calculatedColumnFormula>MacroData[[#This Row],[Public_Debt]]</calculatedColumnFormula>
    </tableColumn>
    <tableColumn id="5" xr3:uid="{B3370428-16C7-4F52-9BDA-9B8C3DD9A99E}" name="Revenue_Taxation" dataDxfId="0">
      <calculatedColumnFormula>MacroData[[#This Row],[Revenue_Taxation]]</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6A47D9-C9C0-41EF-BFA7-1E690EACDA94}" name="MacroData" displayName="MacroData" ref="A1:AC27" totalsRowShown="0" headerRowDxfId="54" dataDxfId="52" headerRowBorderDxfId="53" tableBorderDxfId="51">
  <autoFilter ref="A1:AC27" xr:uid="{3F6A47D9-C9C0-41EF-BFA7-1E690EACDA94}"/>
  <tableColumns count="29">
    <tableColumn id="1" xr3:uid="{2C83E239-E489-4844-94F2-7D7ABCE29FA6}" name="Year" dataDxfId="50"/>
    <tableColumn id="2" xr3:uid="{5BAC4F65-6DFB-4FED-858D-B36A67F4DD8F}" name="Real_GDP_Growth" dataDxfId="49"/>
    <tableColumn id="3" xr3:uid="{E3455856-D69F-4EF8-9C7D-FBFA790ED68B}" name="GDP_Per_Capita_Growth" dataDxfId="48"/>
    <tableColumn id="4" xr3:uid="{346C9A4E-16F7-416F-969C-D96EF77579AF}" name="Agriculture" dataDxfId="47"/>
    <tableColumn id="5" xr3:uid="{B0378F6A-0DDC-4F08-A801-8D8C045715FB}" name="Industry" dataDxfId="46"/>
    <tableColumn id="6" xr3:uid="{1DDDD592-A51A-4F56-A2F9-BDB4C34773C9}" name="Services" dataDxfId="45"/>
    <tableColumn id="7" xr3:uid="{5CF6EAF0-B3EA-4E82-9064-473AD798BEB1}" name="Consumption_Contribution" dataDxfId="44"/>
    <tableColumn id="8" xr3:uid="{1580402A-5064-4EED-B383-848D9FB84A15}" name="Policy_Interest_Rate" dataDxfId="43"/>
    <tableColumn id="9" xr3:uid="{28D82EF1-98E3-46EE-A25A-748221F6ED96}" name="Market_Interest_Rate" dataDxfId="42"/>
    <tableColumn id="10" xr3:uid="{627BCB6E-806D-405D-95A4-673B4380F093}" name="Money_Supply" dataDxfId="41"/>
    <tableColumn id="11" xr3:uid="{C52AB817-17F5-4D04-9893-C1D23D10D7EE}" name="Credit_Growth" dataDxfId="40"/>
    <tableColumn id="12" xr3:uid="{F735A695-8144-4249-9D1E-D0B436432AB8}" name="Headline_Inflation" dataDxfId="39"/>
    <tableColumn id="13" xr3:uid="{2BB8D5A0-612A-46F8-B7AC-B2C04FCC9FB2}" name="Core_Inflation" dataDxfId="38"/>
    <tableColumn id="14" xr3:uid="{4F69E3EF-7368-4BFB-9151-6E78CDF7184A}" name="Food_Inflation" dataDxfId="37"/>
    <tableColumn id="15" xr3:uid="{B84C3624-4844-4060-83AA-1B77CC311E61}" name="Non_Food_Inflation" dataDxfId="36"/>
    <tableColumn id="16" xr3:uid="{5DA80499-CC15-410C-9DF8-40475CEEE450}" name="PPI" dataDxfId="35"/>
    <tableColumn id="17" xr3:uid="{8FA4F01A-670A-426A-B050-5DC25D18E903}" name="Unemployment_Rate" dataDxfId="34"/>
    <tableColumn id="18" xr3:uid="{4ED0D1AD-6314-46F1-A8B6-950D51463620}" name="Labour_Force_Part_Rate" dataDxfId="33"/>
    <tableColumn id="19" xr3:uid="{4F2141F5-A198-40E6-BDDE-225486174A7F}" name="Female_LFPR" dataDxfId="32"/>
    <tableColumn id="20" xr3:uid="{60BF30CC-6CC0-4A43-821D-A1706DB8E58D}" name="Male_Wage_Growth" dataDxfId="31"/>
    <tableColumn id="21" xr3:uid="{659E5E71-C4AD-465A-BC0C-D7A74D82CE4E}" name="Female_Wage_Growth" dataDxfId="30"/>
    <tableColumn id="22" xr3:uid="{FC1D02B8-3FBC-4122-B532-35798D4DEB6B}" name="Exports" dataDxfId="29"/>
    <tableColumn id="23" xr3:uid="{85E7889E-0F42-47A4-9090-7F5AFA8D0EF3}" name="Imports" dataDxfId="28"/>
    <tableColumn id="24" xr3:uid="{E856AEAA-9EE8-4160-852A-50C93435A678}" name="Exchange_Rate_Movement" dataDxfId="27"/>
    <tableColumn id="25" xr3:uid="{B41F28F3-A92E-4A36-B39F-555B0A0926DE}" name="FDI" dataDxfId="26"/>
    <tableColumn id="26" xr3:uid="{E25CBF77-252E-4C4D-B245-42059DF8896D}" name="Gov_Expenditure" dataDxfId="25"/>
    <tableColumn id="27" xr3:uid="{9BCE557C-5286-4C66-9283-11BC6B931A70}" name="Budget_Deficit" dataDxfId="24"/>
    <tableColumn id="28" xr3:uid="{6C3C4D1F-95E0-4563-81DB-74DE03512575}" name="Public_Debt" dataDxfId="23"/>
    <tableColumn id="29" xr3:uid="{F57468E1-71D1-463D-A5D4-C2E20FA5EB4E}" name="Revenue_Taxation" dataDxfId="2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_rels/sheet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7.xml"/></Relationships>
</file>

<file path=xl/worksheets/_rels/sheet6.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8.xml"/></Relationships>
</file>

<file path=xl/worksheets/_rels/sheet7.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9.xml"/></Relationships>
</file>

<file path=xl/worksheets/_rels/sheet8.xml.rels><?xml version="1.0" encoding="UTF-8" standalone="yes"?>
<Relationships xmlns="http://schemas.openxmlformats.org/package/2006/relationships"><Relationship Id="rId2" Type="http://schemas.microsoft.com/office/2007/relationships/slicer" Target="../slicers/slicer8.xml"/><Relationship Id="rId1" Type="http://schemas.openxmlformats.org/officeDocument/2006/relationships/drawing" Target="../drawings/drawing10.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hyperlink" Target="https://exceltab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22F6A-E984-4425-96D7-915E7A7A0F71}">
  <sheetPr>
    <tabColor theme="9"/>
  </sheetPr>
  <dimension ref="A1:AF142"/>
  <sheetViews>
    <sheetView showRowColHeaders="0" tabSelected="1" zoomScale="80" zoomScaleNormal="80" workbookViewId="0"/>
  </sheetViews>
  <sheetFormatPr defaultRowHeight="14.4" x14ac:dyDescent="0.3"/>
  <sheetData>
    <row r="1" spans="1:32" x14ac:dyDescent="0.3">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row>
    <row r="2" spans="1:32"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row>
    <row r="3" spans="1:32" x14ac:dyDescent="0.3">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2"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row>
    <row r="5" spans="1:32"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spans="1:32" x14ac:dyDescent="0.3">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row>
    <row r="7" spans="1:32" x14ac:dyDescent="0.3">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row>
    <row r="8" spans="1:32" x14ac:dyDescent="0.3">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row>
    <row r="9" spans="1:32" x14ac:dyDescent="0.3">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row>
    <row r="10" spans="1:32" x14ac:dyDescent="0.3">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row>
    <row r="11" spans="1:32" x14ac:dyDescent="0.3">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row>
    <row r="12" spans="1:32"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row>
    <row r="13" spans="1:32" x14ac:dyDescent="0.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row>
    <row r="14" spans="1:32" x14ac:dyDescent="0.3">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row>
    <row r="15" spans="1:32" x14ac:dyDescent="0.3">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row>
    <row r="16" spans="1:32" x14ac:dyDescent="0.3">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row>
    <row r="17" spans="1:32" x14ac:dyDescent="0.3">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row>
    <row r="18" spans="1:32"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row>
    <row r="19" spans="1:32"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row>
    <row r="20" spans="1:32"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row>
    <row r="21" spans="1:32"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row>
    <row r="22" spans="1:32"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row>
    <row r="23" spans="1:32"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row>
    <row r="24" spans="1:32" x14ac:dyDescent="0.3">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row>
    <row r="25" spans="1:32" x14ac:dyDescent="0.3">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row>
    <row r="26" spans="1:32" x14ac:dyDescent="0.3">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row>
    <row r="27" spans="1:32" x14ac:dyDescent="0.3">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row>
    <row r="28" spans="1:32" x14ac:dyDescent="0.3">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row>
    <row r="29" spans="1:32" x14ac:dyDescent="0.3">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row>
    <row r="30" spans="1:32" x14ac:dyDescent="0.3">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row>
    <row r="31" spans="1:32" x14ac:dyDescent="0.3">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row>
    <row r="32" spans="1:32" x14ac:dyDescent="0.3">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row>
    <row r="33" spans="1:32" x14ac:dyDescent="0.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row>
    <row r="34" spans="1:32" x14ac:dyDescent="0.3">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row>
    <row r="35" spans="1:32" x14ac:dyDescent="0.3">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row>
    <row r="36" spans="1:32"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row>
    <row r="37" spans="1:32" x14ac:dyDescent="0.3">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row>
    <row r="38" spans="1:32"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row>
    <row r="39" spans="1:32"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row>
    <row r="40" spans="1:32" x14ac:dyDescent="0.3">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row>
    <row r="41" spans="1:32" x14ac:dyDescent="0.3">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row>
    <row r="42" spans="1:32" x14ac:dyDescent="0.3">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row>
    <row r="43" spans="1:32" x14ac:dyDescent="0.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row>
    <row r="44" spans="1:32" x14ac:dyDescent="0.3">
      <c r="A44" s="80"/>
      <c r="B44" s="81"/>
      <c r="C44" s="81"/>
      <c r="D44" s="81"/>
      <c r="E44" s="81"/>
      <c r="F44" s="81"/>
      <c r="G44" s="81"/>
      <c r="H44" s="81"/>
      <c r="I44" s="81"/>
      <c r="J44" s="4"/>
      <c r="K44" s="4"/>
      <c r="L44" s="4"/>
      <c r="M44" s="4"/>
      <c r="N44" s="4"/>
      <c r="O44" s="4"/>
      <c r="P44" s="4"/>
      <c r="Q44" s="4"/>
      <c r="R44" s="4"/>
      <c r="S44" s="4"/>
      <c r="T44" s="4"/>
      <c r="U44" s="4"/>
      <c r="V44" s="4"/>
      <c r="W44" s="4"/>
      <c r="X44" s="4"/>
      <c r="Y44" s="4"/>
      <c r="Z44" s="4"/>
      <c r="AA44" s="4"/>
      <c r="AB44" s="4"/>
      <c r="AC44" s="4"/>
      <c r="AD44" s="4"/>
      <c r="AE44" s="4"/>
      <c r="AF44" s="4"/>
    </row>
    <row r="45" spans="1:32" x14ac:dyDescent="0.3">
      <c r="A45" s="81"/>
      <c r="B45" s="81"/>
      <c r="C45" s="81"/>
      <c r="D45" s="81"/>
      <c r="E45" s="81"/>
      <c r="F45" s="81"/>
      <c r="G45" s="81"/>
      <c r="H45" s="81"/>
      <c r="I45" s="81"/>
      <c r="J45" s="4"/>
      <c r="K45" s="4"/>
      <c r="L45" s="4"/>
      <c r="M45" s="4"/>
      <c r="N45" s="4"/>
      <c r="O45" s="4"/>
      <c r="P45" s="4"/>
      <c r="Q45" s="4"/>
      <c r="R45" s="4"/>
      <c r="S45" s="4"/>
      <c r="T45" s="4"/>
      <c r="U45" s="4"/>
      <c r="V45" s="4"/>
      <c r="W45" s="4"/>
      <c r="X45" s="4"/>
      <c r="Y45" s="4"/>
      <c r="Z45" s="4"/>
      <c r="AA45" s="4"/>
      <c r="AB45" s="4"/>
      <c r="AC45" s="4"/>
      <c r="AD45" s="4"/>
      <c r="AE45" s="4"/>
      <c r="AF45" s="4"/>
    </row>
    <row r="46" spans="1:32" x14ac:dyDescent="0.3">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row>
    <row r="47" spans="1:32" x14ac:dyDescent="0.3">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row>
    <row r="48" spans="1:32" x14ac:dyDescent="0.3">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row>
    <row r="49" spans="1:32" x14ac:dyDescent="0.3">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row>
    <row r="50" spans="1:32" x14ac:dyDescent="0.3">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row>
    <row r="51" spans="1:32" x14ac:dyDescent="0.3">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row>
    <row r="52" spans="1:32" x14ac:dyDescent="0.3">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row>
    <row r="53" spans="1:32" x14ac:dyDescent="0.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row>
    <row r="54" spans="1:32" x14ac:dyDescent="0.3">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row>
    <row r="55" spans="1:32" x14ac:dyDescent="0.3">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row>
    <row r="56" spans="1:32" x14ac:dyDescent="0.3">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row>
    <row r="57" spans="1:32" x14ac:dyDescent="0.3">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row>
    <row r="58" spans="1:32" x14ac:dyDescent="0.3">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row>
    <row r="59" spans="1:32" x14ac:dyDescent="0.3">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row>
    <row r="60" spans="1:32" x14ac:dyDescent="0.3">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row>
    <row r="61" spans="1:32" x14ac:dyDescent="0.3">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row>
    <row r="62" spans="1:32" x14ac:dyDescent="0.3">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row>
    <row r="63" spans="1:32"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row>
    <row r="64" spans="1:32" x14ac:dyDescent="0.3">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row>
    <row r="65" spans="1:32" x14ac:dyDescent="0.3">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row>
    <row r="66" spans="1:32" x14ac:dyDescent="0.3">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row>
    <row r="67" spans="1:32" x14ac:dyDescent="0.3">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row>
    <row r="68" spans="1:32" x14ac:dyDescent="0.3">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row>
    <row r="69" spans="1:32" x14ac:dyDescent="0.3">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row>
    <row r="70" spans="1:32" x14ac:dyDescent="0.3">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row>
    <row r="71" spans="1:32" x14ac:dyDescent="0.3">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row>
    <row r="72" spans="1:32" x14ac:dyDescent="0.3">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row>
    <row r="73" spans="1:32" x14ac:dyDescent="0.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row>
    <row r="74" spans="1:32" x14ac:dyDescent="0.3">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row>
    <row r="75" spans="1:32" x14ac:dyDescent="0.3">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row>
    <row r="76" spans="1:32" x14ac:dyDescent="0.3">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row>
    <row r="77" spans="1:32" x14ac:dyDescent="0.3">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row>
    <row r="78" spans="1:32" x14ac:dyDescent="0.3">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row>
    <row r="79" spans="1:32" x14ac:dyDescent="0.3">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row>
    <row r="80" spans="1:32" x14ac:dyDescent="0.3">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row>
    <row r="81" spans="1:32" x14ac:dyDescent="0.3">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row>
    <row r="82" spans="1:32" x14ac:dyDescent="0.3">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row>
    <row r="83" spans="1:32" x14ac:dyDescent="0.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row>
    <row r="84" spans="1:32" x14ac:dyDescent="0.3">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row>
    <row r="85" spans="1:32" x14ac:dyDescent="0.3">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row>
    <row r="86" spans="1:32" x14ac:dyDescent="0.3">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row>
    <row r="87" spans="1:32" x14ac:dyDescent="0.3">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row>
    <row r="88" spans="1:32" x14ac:dyDescent="0.3">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row>
    <row r="89" spans="1:32" x14ac:dyDescent="0.3">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row>
    <row r="90" spans="1:32" x14ac:dyDescent="0.3">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row>
    <row r="91" spans="1:32" x14ac:dyDescent="0.3">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row>
    <row r="92" spans="1:32" x14ac:dyDescent="0.3">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row>
    <row r="93" spans="1:32" x14ac:dyDescent="0.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row>
    <row r="94" spans="1:32" x14ac:dyDescent="0.3">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row>
    <row r="95" spans="1:32" x14ac:dyDescent="0.3">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row>
    <row r="96" spans="1:32" x14ac:dyDescent="0.3">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row>
    <row r="97" spans="1:32" x14ac:dyDescent="0.3">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row>
    <row r="98" spans="1:32" x14ac:dyDescent="0.3">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row>
    <row r="99" spans="1:32" x14ac:dyDescent="0.3">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row>
    <row r="100" spans="1:32" x14ac:dyDescent="0.3">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row>
    <row r="101" spans="1:32" x14ac:dyDescent="0.3">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row>
    <row r="102" spans="1:32" x14ac:dyDescent="0.3">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row>
    <row r="103" spans="1:32" x14ac:dyDescent="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row>
    <row r="104" spans="1:32" x14ac:dyDescent="0.3">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row>
    <row r="105" spans="1:32" x14ac:dyDescent="0.3">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row>
    <row r="106" spans="1:32" x14ac:dyDescent="0.3">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row>
    <row r="107" spans="1:32" x14ac:dyDescent="0.3">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row>
    <row r="108" spans="1:32" x14ac:dyDescent="0.3">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row>
    <row r="109" spans="1:32" x14ac:dyDescent="0.3">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row>
    <row r="110" spans="1:32" x14ac:dyDescent="0.3">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row>
    <row r="111" spans="1:32"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row>
    <row r="112" spans="1:32" x14ac:dyDescent="0.3">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row>
    <row r="113" spans="1:32"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row>
    <row r="114" spans="1:32"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row>
    <row r="115" spans="1:32" x14ac:dyDescent="0.3">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row>
    <row r="116" spans="1:32"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row>
    <row r="117" spans="1:32" x14ac:dyDescent="0.3">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row>
    <row r="118" spans="1:32" x14ac:dyDescent="0.3">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row>
    <row r="119" spans="1:32" x14ac:dyDescent="0.3">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row>
    <row r="120" spans="1:32" x14ac:dyDescent="0.3">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row>
    <row r="121" spans="1:32" x14ac:dyDescent="0.3">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spans="1:32"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spans="1:32" x14ac:dyDescent="0.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spans="1:32" x14ac:dyDescent="0.3">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spans="1:32" x14ac:dyDescent="0.3">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spans="1:32" x14ac:dyDescent="0.3">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spans="1:32" x14ac:dyDescent="0.3">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spans="1:32" x14ac:dyDescent="0.3">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spans="1:32"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spans="1:32" x14ac:dyDescent="0.3">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spans="1:32"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spans="1:32" x14ac:dyDescent="0.3">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spans="1:32" x14ac:dyDescent="0.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spans="1:32" x14ac:dyDescent="0.3">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spans="1:32" x14ac:dyDescent="0.3">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spans="1:32" x14ac:dyDescent="0.3">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spans="1:32" x14ac:dyDescent="0.3">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spans="1:32" x14ac:dyDescent="0.3">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spans="1:32" x14ac:dyDescent="0.3">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spans="1:32"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spans="1:32"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spans="1:32" x14ac:dyDescent="0.3">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sheetData>
  <mergeCells count="1">
    <mergeCell ref="A44:I4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FD2E4-35AA-43A2-B7B1-2FE6571D07F2}">
  <sheetPr>
    <tabColor theme="8"/>
  </sheetPr>
  <dimension ref="A1:AF142"/>
  <sheetViews>
    <sheetView showRowColHeaders="0" zoomScale="80" zoomScaleNormal="80" workbookViewId="0"/>
  </sheetViews>
  <sheetFormatPr defaultRowHeight="14.4" x14ac:dyDescent="0.3"/>
  <sheetData>
    <row r="1" spans="1:32" x14ac:dyDescent="0.3">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row>
    <row r="2" spans="1:32"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row>
    <row r="3" spans="1:32" x14ac:dyDescent="0.3">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2"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row>
    <row r="5" spans="1:32"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spans="1:32" x14ac:dyDescent="0.3">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row>
    <row r="7" spans="1:32" x14ac:dyDescent="0.3">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row>
    <row r="8" spans="1:32" x14ac:dyDescent="0.3">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row>
    <row r="9" spans="1:32" x14ac:dyDescent="0.3">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row>
    <row r="10" spans="1:32" x14ac:dyDescent="0.3">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row>
    <row r="11" spans="1:32" x14ac:dyDescent="0.3">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row>
    <row r="12" spans="1:32"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row>
    <row r="13" spans="1:32" x14ac:dyDescent="0.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row>
    <row r="14" spans="1:32" x14ac:dyDescent="0.3">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row>
    <row r="15" spans="1:32" x14ac:dyDescent="0.3">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row>
    <row r="16" spans="1:32" x14ac:dyDescent="0.3">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row>
    <row r="17" spans="1:32" x14ac:dyDescent="0.3">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row>
    <row r="18" spans="1:32"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row>
    <row r="19" spans="1:32"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row>
    <row r="20" spans="1:32"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row>
    <row r="21" spans="1:32"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row>
    <row r="22" spans="1:32"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row>
    <row r="23" spans="1:32"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row>
    <row r="24" spans="1:32" x14ac:dyDescent="0.3">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row>
    <row r="25" spans="1:32" x14ac:dyDescent="0.3">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row>
    <row r="26" spans="1:32" x14ac:dyDescent="0.3">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row>
    <row r="27" spans="1:32" x14ac:dyDescent="0.3">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row>
    <row r="28" spans="1:32" x14ac:dyDescent="0.3">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row>
    <row r="29" spans="1:32" x14ac:dyDescent="0.3">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row>
    <row r="30" spans="1:32" x14ac:dyDescent="0.3">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row>
    <row r="31" spans="1:32" x14ac:dyDescent="0.3">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row>
    <row r="32" spans="1:32" x14ac:dyDescent="0.3">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row>
    <row r="33" spans="1:32" x14ac:dyDescent="0.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row>
    <row r="34" spans="1:32" x14ac:dyDescent="0.3">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row>
    <row r="35" spans="1:32" x14ac:dyDescent="0.3">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row>
    <row r="36" spans="1:32"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row>
    <row r="37" spans="1:32" x14ac:dyDescent="0.3">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row>
    <row r="38" spans="1:32"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row>
    <row r="39" spans="1:32"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row>
    <row r="40" spans="1:32" x14ac:dyDescent="0.3">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row>
    <row r="41" spans="1:32" x14ac:dyDescent="0.3">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row>
    <row r="42" spans="1:32" x14ac:dyDescent="0.3">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row>
    <row r="43" spans="1:32" x14ac:dyDescent="0.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row>
    <row r="44" spans="1:32" x14ac:dyDescent="0.3">
      <c r="A44" s="80"/>
      <c r="B44" s="81"/>
      <c r="C44" s="81"/>
      <c r="D44" s="81"/>
      <c r="E44" s="81"/>
      <c r="F44" s="81"/>
      <c r="G44" s="81"/>
      <c r="H44" s="81"/>
      <c r="I44" s="81"/>
      <c r="J44" s="4"/>
      <c r="K44" s="4"/>
      <c r="L44" s="4"/>
      <c r="M44" s="4"/>
      <c r="N44" s="4"/>
      <c r="O44" s="4"/>
      <c r="P44" s="4"/>
      <c r="Q44" s="4"/>
      <c r="R44" s="4"/>
      <c r="S44" s="4"/>
      <c r="T44" s="4"/>
      <c r="U44" s="4"/>
      <c r="V44" s="4"/>
      <c r="W44" s="4"/>
      <c r="X44" s="4"/>
      <c r="Y44" s="4"/>
      <c r="Z44" s="4"/>
      <c r="AA44" s="4"/>
      <c r="AB44" s="4"/>
      <c r="AC44" s="4"/>
      <c r="AD44" s="4"/>
      <c r="AE44" s="4"/>
      <c r="AF44" s="4"/>
    </row>
    <row r="45" spans="1:32" x14ac:dyDescent="0.3">
      <c r="A45" s="81"/>
      <c r="B45" s="81"/>
      <c r="C45" s="81"/>
      <c r="D45" s="81"/>
      <c r="E45" s="81"/>
      <c r="F45" s="81"/>
      <c r="G45" s="81"/>
      <c r="H45" s="81"/>
      <c r="I45" s="81"/>
      <c r="J45" s="4"/>
      <c r="K45" s="4"/>
      <c r="L45" s="4"/>
      <c r="M45" s="4"/>
      <c r="N45" s="4"/>
      <c r="O45" s="4"/>
      <c r="P45" s="4"/>
      <c r="Q45" s="4"/>
      <c r="R45" s="4"/>
      <c r="S45" s="4"/>
      <c r="T45" s="4"/>
      <c r="U45" s="4"/>
      <c r="V45" s="4"/>
      <c r="W45" s="4"/>
      <c r="X45" s="4"/>
      <c r="Y45" s="4"/>
      <c r="Z45" s="4"/>
      <c r="AA45" s="4"/>
      <c r="AB45" s="4"/>
      <c r="AC45" s="4"/>
      <c r="AD45" s="4"/>
      <c r="AE45" s="4"/>
      <c r="AF45" s="4"/>
    </row>
    <row r="46" spans="1:32" x14ac:dyDescent="0.3">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row>
    <row r="47" spans="1:32" x14ac:dyDescent="0.3">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row>
    <row r="48" spans="1:32" x14ac:dyDescent="0.3">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row>
    <row r="49" spans="1:32" x14ac:dyDescent="0.3">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row>
    <row r="50" spans="1:32" x14ac:dyDescent="0.3">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row>
    <row r="51" spans="1:32" x14ac:dyDescent="0.3">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row>
    <row r="52" spans="1:32" x14ac:dyDescent="0.3">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row>
    <row r="53" spans="1:32" x14ac:dyDescent="0.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row>
    <row r="54" spans="1:32" x14ac:dyDescent="0.3">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row>
    <row r="55" spans="1:32" x14ac:dyDescent="0.3">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row>
    <row r="56" spans="1:32" x14ac:dyDescent="0.3">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row>
    <row r="57" spans="1:32" x14ac:dyDescent="0.3">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row>
    <row r="58" spans="1:32" x14ac:dyDescent="0.3">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row>
    <row r="59" spans="1:32" x14ac:dyDescent="0.3">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row>
    <row r="60" spans="1:32" x14ac:dyDescent="0.3">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row>
    <row r="61" spans="1:32" x14ac:dyDescent="0.3">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row>
    <row r="62" spans="1:32" x14ac:dyDescent="0.3">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row>
    <row r="63" spans="1:32"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row>
    <row r="64" spans="1:32" x14ac:dyDescent="0.3">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row>
    <row r="65" spans="1:32" x14ac:dyDescent="0.3">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row>
    <row r="66" spans="1:32" x14ac:dyDescent="0.3">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row>
    <row r="67" spans="1:32" x14ac:dyDescent="0.3">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row>
    <row r="68" spans="1:32" x14ac:dyDescent="0.3">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row>
    <row r="69" spans="1:32" x14ac:dyDescent="0.3">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row>
    <row r="70" spans="1:32" x14ac:dyDescent="0.3">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row>
    <row r="71" spans="1:32" x14ac:dyDescent="0.3">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row>
    <row r="72" spans="1:32" x14ac:dyDescent="0.3">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row>
    <row r="73" spans="1:32" x14ac:dyDescent="0.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row>
    <row r="74" spans="1:32" x14ac:dyDescent="0.3">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row>
    <row r="75" spans="1:32" x14ac:dyDescent="0.3">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row>
    <row r="76" spans="1:32" x14ac:dyDescent="0.3">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row>
    <row r="77" spans="1:32" x14ac:dyDescent="0.3">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row>
    <row r="78" spans="1:32" x14ac:dyDescent="0.3">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row>
    <row r="79" spans="1:32" x14ac:dyDescent="0.3">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row>
    <row r="80" spans="1:32" x14ac:dyDescent="0.3">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row>
    <row r="81" spans="1:32" x14ac:dyDescent="0.3">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row>
    <row r="82" spans="1:32" x14ac:dyDescent="0.3">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row>
    <row r="83" spans="1:32" x14ac:dyDescent="0.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row>
    <row r="84" spans="1:32" x14ac:dyDescent="0.3">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row>
    <row r="85" spans="1:32" x14ac:dyDescent="0.3">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row>
    <row r="86" spans="1:32" x14ac:dyDescent="0.3">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row>
    <row r="87" spans="1:32" x14ac:dyDescent="0.3">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row>
    <row r="88" spans="1:32" x14ac:dyDescent="0.3">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row>
    <row r="89" spans="1:32" x14ac:dyDescent="0.3">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row>
    <row r="90" spans="1:32" x14ac:dyDescent="0.3">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row>
    <row r="91" spans="1:32" x14ac:dyDescent="0.3">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row>
    <row r="92" spans="1:32" x14ac:dyDescent="0.3">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row>
    <row r="93" spans="1:32" x14ac:dyDescent="0.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row>
    <row r="94" spans="1:32" x14ac:dyDescent="0.3">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row>
    <row r="95" spans="1:32" x14ac:dyDescent="0.3">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row>
    <row r="96" spans="1:32" x14ac:dyDescent="0.3">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row>
    <row r="97" spans="1:32" x14ac:dyDescent="0.3">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row>
    <row r="98" spans="1:32" x14ac:dyDescent="0.3">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row>
    <row r="99" spans="1:32" x14ac:dyDescent="0.3">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row>
    <row r="100" spans="1:32" x14ac:dyDescent="0.3">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row>
    <row r="101" spans="1:32" x14ac:dyDescent="0.3">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row>
    <row r="102" spans="1:32" x14ac:dyDescent="0.3">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row>
    <row r="103" spans="1:32" x14ac:dyDescent="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row>
    <row r="104" spans="1:32" x14ac:dyDescent="0.3">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row>
    <row r="105" spans="1:32" x14ac:dyDescent="0.3">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row>
    <row r="106" spans="1:32" x14ac:dyDescent="0.3">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row>
    <row r="107" spans="1:32" x14ac:dyDescent="0.3">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row>
    <row r="108" spans="1:32" x14ac:dyDescent="0.3">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row>
    <row r="109" spans="1:32" x14ac:dyDescent="0.3">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row>
    <row r="110" spans="1:32" x14ac:dyDescent="0.3">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row>
    <row r="111" spans="1:32"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row>
    <row r="112" spans="1:32" x14ac:dyDescent="0.3">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row>
    <row r="113" spans="1:32"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row>
    <row r="114" spans="1:32"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row>
    <row r="115" spans="1:32" x14ac:dyDescent="0.3">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row>
    <row r="116" spans="1:32"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row>
    <row r="117" spans="1:32" x14ac:dyDescent="0.3">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row>
    <row r="118" spans="1:32" x14ac:dyDescent="0.3">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row>
    <row r="119" spans="1:32" x14ac:dyDescent="0.3">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row>
    <row r="120" spans="1:32" x14ac:dyDescent="0.3">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row>
    <row r="121" spans="1:32" x14ac:dyDescent="0.3">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spans="1:32"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spans="1:32" x14ac:dyDescent="0.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spans="1:32" x14ac:dyDescent="0.3">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spans="1:32" x14ac:dyDescent="0.3">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spans="1:32" x14ac:dyDescent="0.3">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spans="1:32" x14ac:dyDescent="0.3">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spans="1:32" x14ac:dyDescent="0.3">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spans="1:32"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spans="1:32" x14ac:dyDescent="0.3">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spans="1:32"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spans="1:32" x14ac:dyDescent="0.3">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spans="1:32" x14ac:dyDescent="0.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spans="1:32" x14ac:dyDescent="0.3">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spans="1:32" x14ac:dyDescent="0.3">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spans="1:32" x14ac:dyDescent="0.3">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spans="1:32" x14ac:dyDescent="0.3">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spans="1:32" x14ac:dyDescent="0.3">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spans="1:32" x14ac:dyDescent="0.3">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spans="1:32"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spans="1:32"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spans="1:32" x14ac:dyDescent="0.3">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sheetData>
  <mergeCells count="1">
    <mergeCell ref="A44:I4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C6A0A-C5F1-4297-9079-0A35FAD67590}">
  <sheetPr>
    <tabColor theme="7"/>
  </sheetPr>
  <dimension ref="A1:AF142"/>
  <sheetViews>
    <sheetView showRowColHeaders="0" zoomScale="80" zoomScaleNormal="80" workbookViewId="0"/>
  </sheetViews>
  <sheetFormatPr defaultRowHeight="14.4" x14ac:dyDescent="0.3"/>
  <sheetData>
    <row r="1" spans="1:32" x14ac:dyDescent="0.3">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row>
    <row r="2" spans="1:32"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row>
    <row r="3" spans="1:32" x14ac:dyDescent="0.3">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2"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row>
    <row r="5" spans="1:32"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spans="1:32" x14ac:dyDescent="0.3">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row>
    <row r="7" spans="1:32" x14ac:dyDescent="0.3">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row>
    <row r="8" spans="1:32" x14ac:dyDescent="0.3">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row>
    <row r="9" spans="1:32" x14ac:dyDescent="0.3">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row>
    <row r="10" spans="1:32" x14ac:dyDescent="0.3">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row>
    <row r="11" spans="1:32" x14ac:dyDescent="0.3">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row>
    <row r="12" spans="1:32"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row>
    <row r="13" spans="1:32" x14ac:dyDescent="0.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row>
    <row r="14" spans="1:32" x14ac:dyDescent="0.3">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row>
    <row r="15" spans="1:32" x14ac:dyDescent="0.3">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row>
    <row r="16" spans="1:32" x14ac:dyDescent="0.3">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row>
    <row r="17" spans="1:32" x14ac:dyDescent="0.3">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row>
    <row r="18" spans="1:32"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row>
    <row r="19" spans="1:32"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row>
    <row r="20" spans="1:32"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row>
    <row r="21" spans="1:32"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row>
    <row r="22" spans="1:32"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row>
    <row r="23" spans="1:32"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row>
    <row r="24" spans="1:32" x14ac:dyDescent="0.3">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row>
    <row r="25" spans="1:32" x14ac:dyDescent="0.3">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row>
    <row r="26" spans="1:32" x14ac:dyDescent="0.3">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row>
    <row r="27" spans="1:32" x14ac:dyDescent="0.3">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row>
    <row r="28" spans="1:32" x14ac:dyDescent="0.3">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row>
    <row r="29" spans="1:32" x14ac:dyDescent="0.3">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row>
    <row r="30" spans="1:32" x14ac:dyDescent="0.3">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row>
    <row r="31" spans="1:32" x14ac:dyDescent="0.3">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row>
    <row r="32" spans="1:32" x14ac:dyDescent="0.3">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row>
    <row r="33" spans="1:32" x14ac:dyDescent="0.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row>
    <row r="34" spans="1:32" x14ac:dyDescent="0.3">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row>
    <row r="35" spans="1:32" x14ac:dyDescent="0.3">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row>
    <row r="36" spans="1:32"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row>
    <row r="37" spans="1:32" x14ac:dyDescent="0.3">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row>
    <row r="38" spans="1:32"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row>
    <row r="39" spans="1:32"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row>
    <row r="40" spans="1:32" x14ac:dyDescent="0.3">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row>
    <row r="41" spans="1:32" x14ac:dyDescent="0.3">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row>
    <row r="42" spans="1:32" x14ac:dyDescent="0.3">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row>
    <row r="43" spans="1:32" x14ac:dyDescent="0.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row>
    <row r="44" spans="1:32" x14ac:dyDescent="0.3">
      <c r="A44" s="80"/>
      <c r="B44" s="81"/>
      <c r="C44" s="81"/>
      <c r="D44" s="81"/>
      <c r="E44" s="81"/>
      <c r="F44" s="81"/>
      <c r="G44" s="81"/>
      <c r="H44" s="81"/>
      <c r="I44" s="81"/>
      <c r="J44" s="4"/>
      <c r="K44" s="4"/>
      <c r="L44" s="4"/>
      <c r="M44" s="4"/>
      <c r="N44" s="4"/>
      <c r="O44" s="4"/>
      <c r="P44" s="4"/>
      <c r="Q44" s="4"/>
      <c r="R44" s="4"/>
      <c r="S44" s="4"/>
      <c r="T44" s="4"/>
      <c r="U44" s="4"/>
      <c r="V44" s="4"/>
      <c r="W44" s="4"/>
      <c r="X44" s="4"/>
      <c r="Y44" s="4"/>
      <c r="Z44" s="4"/>
      <c r="AA44" s="4"/>
      <c r="AB44" s="4"/>
      <c r="AC44" s="4"/>
      <c r="AD44" s="4"/>
      <c r="AE44" s="4"/>
      <c r="AF44" s="4"/>
    </row>
    <row r="45" spans="1:32" x14ac:dyDescent="0.3">
      <c r="A45" s="81"/>
      <c r="B45" s="81"/>
      <c r="C45" s="81"/>
      <c r="D45" s="81"/>
      <c r="E45" s="81"/>
      <c r="F45" s="81"/>
      <c r="G45" s="81"/>
      <c r="H45" s="81"/>
      <c r="I45" s="81"/>
      <c r="J45" s="4"/>
      <c r="K45" s="4"/>
      <c r="L45" s="4"/>
      <c r="M45" s="4"/>
      <c r="N45" s="4"/>
      <c r="O45" s="4"/>
      <c r="P45" s="4"/>
      <c r="Q45" s="4"/>
      <c r="R45" s="4"/>
      <c r="S45" s="4"/>
      <c r="T45" s="4"/>
      <c r="U45" s="4"/>
      <c r="V45" s="4"/>
      <c r="W45" s="4"/>
      <c r="X45" s="4"/>
      <c r="Y45" s="4"/>
      <c r="Z45" s="4"/>
      <c r="AA45" s="4"/>
      <c r="AB45" s="4"/>
      <c r="AC45" s="4"/>
      <c r="AD45" s="4"/>
      <c r="AE45" s="4"/>
      <c r="AF45" s="4"/>
    </row>
    <row r="46" spans="1:32" x14ac:dyDescent="0.3">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row>
    <row r="47" spans="1:32" x14ac:dyDescent="0.3">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row>
    <row r="48" spans="1:32" x14ac:dyDescent="0.3">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row>
    <row r="49" spans="1:32" x14ac:dyDescent="0.3">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row>
    <row r="50" spans="1:32" x14ac:dyDescent="0.3">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row>
    <row r="51" spans="1:32" x14ac:dyDescent="0.3">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row>
    <row r="52" spans="1:32" x14ac:dyDescent="0.3">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row>
    <row r="53" spans="1:32" x14ac:dyDescent="0.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row>
    <row r="54" spans="1:32" x14ac:dyDescent="0.3">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row>
    <row r="55" spans="1:32" x14ac:dyDescent="0.3">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row>
    <row r="56" spans="1:32" x14ac:dyDescent="0.3">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row>
    <row r="57" spans="1:32" x14ac:dyDescent="0.3">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row>
    <row r="58" spans="1:32" x14ac:dyDescent="0.3">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row>
    <row r="59" spans="1:32" x14ac:dyDescent="0.3">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row>
    <row r="60" spans="1:32" x14ac:dyDescent="0.3">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row>
    <row r="61" spans="1:32" x14ac:dyDescent="0.3">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row>
    <row r="62" spans="1:32" x14ac:dyDescent="0.3">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row>
    <row r="63" spans="1:32"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row>
    <row r="64" spans="1:32" x14ac:dyDescent="0.3">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row>
    <row r="65" spans="1:32" x14ac:dyDescent="0.3">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row>
    <row r="66" spans="1:32" x14ac:dyDescent="0.3">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row>
    <row r="67" spans="1:32" x14ac:dyDescent="0.3">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row>
    <row r="68" spans="1:32" x14ac:dyDescent="0.3">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row>
    <row r="69" spans="1:32" x14ac:dyDescent="0.3">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row>
    <row r="70" spans="1:32" x14ac:dyDescent="0.3">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row>
    <row r="71" spans="1:32" x14ac:dyDescent="0.3">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row>
    <row r="72" spans="1:32" x14ac:dyDescent="0.3">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row>
    <row r="73" spans="1:32" x14ac:dyDescent="0.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row>
    <row r="74" spans="1:32" x14ac:dyDescent="0.3">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row>
    <row r="75" spans="1:32" x14ac:dyDescent="0.3">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row>
    <row r="76" spans="1:32" x14ac:dyDescent="0.3">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row>
    <row r="77" spans="1:32" x14ac:dyDescent="0.3">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row>
    <row r="78" spans="1:32" x14ac:dyDescent="0.3">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row>
    <row r="79" spans="1:32" x14ac:dyDescent="0.3">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row>
    <row r="80" spans="1:32" x14ac:dyDescent="0.3">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row>
    <row r="81" spans="1:32" x14ac:dyDescent="0.3">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row>
    <row r="82" spans="1:32" x14ac:dyDescent="0.3">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row>
    <row r="83" spans="1:32" x14ac:dyDescent="0.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row>
    <row r="84" spans="1:32" x14ac:dyDescent="0.3">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row>
    <row r="85" spans="1:32" x14ac:dyDescent="0.3">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row>
    <row r="86" spans="1:32" x14ac:dyDescent="0.3">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row>
    <row r="87" spans="1:32" x14ac:dyDescent="0.3">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row>
    <row r="88" spans="1:32" x14ac:dyDescent="0.3">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row>
    <row r="89" spans="1:32" x14ac:dyDescent="0.3">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row>
    <row r="90" spans="1:32" x14ac:dyDescent="0.3">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row>
    <row r="91" spans="1:32" x14ac:dyDescent="0.3">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row>
    <row r="92" spans="1:32" x14ac:dyDescent="0.3">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row>
    <row r="93" spans="1:32" x14ac:dyDescent="0.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row>
    <row r="94" spans="1:32" x14ac:dyDescent="0.3">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row>
    <row r="95" spans="1:32" x14ac:dyDescent="0.3">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row>
    <row r="96" spans="1:32" x14ac:dyDescent="0.3">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row>
    <row r="97" spans="1:32" x14ac:dyDescent="0.3">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row>
    <row r="98" spans="1:32" x14ac:dyDescent="0.3">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row>
    <row r="99" spans="1:32" x14ac:dyDescent="0.3">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row>
    <row r="100" spans="1:32" x14ac:dyDescent="0.3">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row>
    <row r="101" spans="1:32" x14ac:dyDescent="0.3">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row>
    <row r="102" spans="1:32" x14ac:dyDescent="0.3">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row>
    <row r="103" spans="1:32" x14ac:dyDescent="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row>
    <row r="104" spans="1:32" x14ac:dyDescent="0.3">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row>
    <row r="105" spans="1:32" x14ac:dyDescent="0.3">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row>
    <row r="106" spans="1:32" x14ac:dyDescent="0.3">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row>
    <row r="107" spans="1:32" x14ac:dyDescent="0.3">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row>
    <row r="108" spans="1:32" x14ac:dyDescent="0.3">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row>
    <row r="109" spans="1:32" x14ac:dyDescent="0.3">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row>
    <row r="110" spans="1:32" x14ac:dyDescent="0.3">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row>
    <row r="111" spans="1:32"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row>
    <row r="112" spans="1:32" x14ac:dyDescent="0.3">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row>
    <row r="113" spans="1:32"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row>
    <row r="114" spans="1:32"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row>
    <row r="115" spans="1:32" x14ac:dyDescent="0.3">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row>
    <row r="116" spans="1:32"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row>
    <row r="117" spans="1:32" x14ac:dyDescent="0.3">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row>
    <row r="118" spans="1:32" x14ac:dyDescent="0.3">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row>
    <row r="119" spans="1:32" x14ac:dyDescent="0.3">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row>
    <row r="120" spans="1:32" x14ac:dyDescent="0.3">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row>
    <row r="121" spans="1:32" x14ac:dyDescent="0.3">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spans="1:32"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spans="1:32" x14ac:dyDescent="0.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spans="1:32" x14ac:dyDescent="0.3">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spans="1:32" x14ac:dyDescent="0.3">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spans="1:32" x14ac:dyDescent="0.3">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spans="1:32" x14ac:dyDescent="0.3">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spans="1:32" x14ac:dyDescent="0.3">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spans="1:32"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spans="1:32" x14ac:dyDescent="0.3">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spans="1:32"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spans="1:32" x14ac:dyDescent="0.3">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spans="1:32" x14ac:dyDescent="0.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spans="1:32" x14ac:dyDescent="0.3">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spans="1:32" x14ac:dyDescent="0.3">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spans="1:32" x14ac:dyDescent="0.3">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spans="1:32" x14ac:dyDescent="0.3">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spans="1:32" x14ac:dyDescent="0.3">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spans="1:32" x14ac:dyDescent="0.3">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spans="1:32"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spans="1:32"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spans="1:32" x14ac:dyDescent="0.3">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sheetData>
  <mergeCells count="1">
    <mergeCell ref="A44:I4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41F70-EE13-404A-9CDC-0A7E9D89529A}">
  <sheetPr>
    <tabColor theme="5"/>
  </sheetPr>
  <dimension ref="A1:AF142"/>
  <sheetViews>
    <sheetView showRowColHeaders="0" zoomScale="80" zoomScaleNormal="80" workbookViewId="0"/>
  </sheetViews>
  <sheetFormatPr defaultRowHeight="14.4" x14ac:dyDescent="0.3"/>
  <sheetData>
    <row r="1" spans="1:32" x14ac:dyDescent="0.3">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row>
    <row r="2" spans="1:32"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row>
    <row r="3" spans="1:32" x14ac:dyDescent="0.3">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2"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row>
    <row r="5" spans="1:32"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spans="1:32" x14ac:dyDescent="0.3">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row>
    <row r="7" spans="1:32" x14ac:dyDescent="0.3">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row>
    <row r="8" spans="1:32" x14ac:dyDescent="0.3">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row>
    <row r="9" spans="1:32" x14ac:dyDescent="0.3">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row>
    <row r="10" spans="1:32" x14ac:dyDescent="0.3">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row>
    <row r="11" spans="1:32" x14ac:dyDescent="0.3">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row>
    <row r="12" spans="1:32"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row>
    <row r="13" spans="1:32" x14ac:dyDescent="0.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row>
    <row r="14" spans="1:32" x14ac:dyDescent="0.3">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row>
    <row r="15" spans="1:32" x14ac:dyDescent="0.3">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row>
    <row r="16" spans="1:32" x14ac:dyDescent="0.3">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row>
    <row r="17" spans="1:32" x14ac:dyDescent="0.3">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row>
    <row r="18" spans="1:32"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row>
    <row r="19" spans="1:32"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row>
    <row r="20" spans="1:32"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row>
    <row r="21" spans="1:32"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row>
    <row r="22" spans="1:32"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row>
    <row r="23" spans="1:32"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row>
    <row r="24" spans="1:32" x14ac:dyDescent="0.3">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row>
    <row r="25" spans="1:32" x14ac:dyDescent="0.3">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row>
    <row r="26" spans="1:32" x14ac:dyDescent="0.3">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row>
    <row r="27" spans="1:32" x14ac:dyDescent="0.3">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row>
    <row r="28" spans="1:32" x14ac:dyDescent="0.3">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row>
    <row r="29" spans="1:32" x14ac:dyDescent="0.3">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row>
    <row r="30" spans="1:32" x14ac:dyDescent="0.3">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row>
    <row r="31" spans="1:32" x14ac:dyDescent="0.3">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row>
    <row r="32" spans="1:32" x14ac:dyDescent="0.3">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row>
    <row r="33" spans="1:32" x14ac:dyDescent="0.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row>
    <row r="34" spans="1:32" x14ac:dyDescent="0.3">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row>
    <row r="35" spans="1:32" x14ac:dyDescent="0.3">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row>
    <row r="36" spans="1:32"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row>
    <row r="37" spans="1:32" x14ac:dyDescent="0.3">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row>
    <row r="38" spans="1:32"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row>
    <row r="39" spans="1:32"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row>
    <row r="40" spans="1:32" x14ac:dyDescent="0.3">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row>
    <row r="41" spans="1:32" x14ac:dyDescent="0.3">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row>
    <row r="42" spans="1:32" x14ac:dyDescent="0.3">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row>
    <row r="43" spans="1:32" x14ac:dyDescent="0.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row>
    <row r="44" spans="1:32" x14ac:dyDescent="0.3">
      <c r="A44" s="80"/>
      <c r="B44" s="81"/>
      <c r="C44" s="81"/>
      <c r="D44" s="81"/>
      <c r="E44" s="81"/>
      <c r="F44" s="81"/>
      <c r="G44" s="81"/>
      <c r="H44" s="81"/>
      <c r="I44" s="81"/>
      <c r="J44" s="4"/>
      <c r="K44" s="4"/>
      <c r="L44" s="4"/>
      <c r="M44" s="4"/>
      <c r="N44" s="4"/>
      <c r="O44" s="4"/>
      <c r="P44" s="4"/>
      <c r="Q44" s="4"/>
      <c r="R44" s="4"/>
      <c r="S44" s="4"/>
      <c r="T44" s="4"/>
      <c r="U44" s="4"/>
      <c r="V44" s="4"/>
      <c r="W44" s="4"/>
      <c r="X44" s="4"/>
      <c r="Y44" s="4"/>
      <c r="Z44" s="4"/>
      <c r="AA44" s="4"/>
      <c r="AB44" s="4"/>
      <c r="AC44" s="4"/>
      <c r="AD44" s="4"/>
      <c r="AE44" s="4"/>
      <c r="AF44" s="4"/>
    </row>
    <row r="45" spans="1:32" x14ac:dyDescent="0.3">
      <c r="A45" s="81"/>
      <c r="B45" s="81"/>
      <c r="C45" s="81"/>
      <c r="D45" s="81"/>
      <c r="E45" s="81"/>
      <c r="F45" s="81"/>
      <c r="G45" s="81"/>
      <c r="H45" s="81"/>
      <c r="I45" s="81"/>
      <c r="J45" s="4"/>
      <c r="K45" s="4"/>
      <c r="L45" s="4"/>
      <c r="M45" s="4"/>
      <c r="N45" s="4"/>
      <c r="O45" s="4"/>
      <c r="P45" s="4"/>
      <c r="Q45" s="4"/>
      <c r="R45" s="4"/>
      <c r="S45" s="4"/>
      <c r="T45" s="4"/>
      <c r="U45" s="4"/>
      <c r="V45" s="4"/>
      <c r="W45" s="4"/>
      <c r="X45" s="4"/>
      <c r="Y45" s="4"/>
      <c r="Z45" s="4"/>
      <c r="AA45" s="4"/>
      <c r="AB45" s="4"/>
      <c r="AC45" s="4"/>
      <c r="AD45" s="4"/>
      <c r="AE45" s="4"/>
      <c r="AF45" s="4"/>
    </row>
    <row r="46" spans="1:32" x14ac:dyDescent="0.3">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row>
    <row r="47" spans="1:32" x14ac:dyDescent="0.3">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row>
    <row r="48" spans="1:32" x14ac:dyDescent="0.3">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row>
    <row r="49" spans="1:32" x14ac:dyDescent="0.3">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row>
    <row r="50" spans="1:32" x14ac:dyDescent="0.3">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row>
    <row r="51" spans="1:32" x14ac:dyDescent="0.3">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row>
    <row r="52" spans="1:32" x14ac:dyDescent="0.3">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row>
    <row r="53" spans="1:32" x14ac:dyDescent="0.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row>
    <row r="54" spans="1:32" x14ac:dyDescent="0.3">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row>
    <row r="55" spans="1:32" x14ac:dyDescent="0.3">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row>
    <row r="56" spans="1:32" x14ac:dyDescent="0.3">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row>
    <row r="57" spans="1:32" x14ac:dyDescent="0.3">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row>
    <row r="58" spans="1:32" x14ac:dyDescent="0.3">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row>
    <row r="59" spans="1:32" x14ac:dyDescent="0.3">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row>
    <row r="60" spans="1:32" x14ac:dyDescent="0.3">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row>
    <row r="61" spans="1:32" x14ac:dyDescent="0.3">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row>
    <row r="62" spans="1:32" x14ac:dyDescent="0.3">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row>
    <row r="63" spans="1:32"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row>
    <row r="64" spans="1:32" x14ac:dyDescent="0.3">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row>
    <row r="65" spans="1:32" x14ac:dyDescent="0.3">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row>
    <row r="66" spans="1:32" x14ac:dyDescent="0.3">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row>
    <row r="67" spans="1:32" x14ac:dyDescent="0.3">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row>
    <row r="68" spans="1:32" x14ac:dyDescent="0.3">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row>
    <row r="69" spans="1:32" x14ac:dyDescent="0.3">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row>
    <row r="70" spans="1:32" x14ac:dyDescent="0.3">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row>
    <row r="71" spans="1:32" x14ac:dyDescent="0.3">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row>
    <row r="72" spans="1:32" x14ac:dyDescent="0.3">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row>
    <row r="73" spans="1:32" x14ac:dyDescent="0.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row>
    <row r="74" spans="1:32" x14ac:dyDescent="0.3">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row>
    <row r="75" spans="1:32" x14ac:dyDescent="0.3">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row>
    <row r="76" spans="1:32" x14ac:dyDescent="0.3">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row>
    <row r="77" spans="1:32" x14ac:dyDescent="0.3">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row>
    <row r="78" spans="1:32" x14ac:dyDescent="0.3">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row>
    <row r="79" spans="1:32" x14ac:dyDescent="0.3">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row>
    <row r="80" spans="1:32" x14ac:dyDescent="0.3">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row>
    <row r="81" spans="1:32" x14ac:dyDescent="0.3">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row>
    <row r="82" spans="1:32" x14ac:dyDescent="0.3">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row>
    <row r="83" spans="1:32" x14ac:dyDescent="0.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row>
    <row r="84" spans="1:32" x14ac:dyDescent="0.3">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row>
    <row r="85" spans="1:32" x14ac:dyDescent="0.3">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row>
    <row r="86" spans="1:32" x14ac:dyDescent="0.3">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row>
    <row r="87" spans="1:32" x14ac:dyDescent="0.3">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row>
    <row r="88" spans="1:32" x14ac:dyDescent="0.3">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row>
    <row r="89" spans="1:32" x14ac:dyDescent="0.3">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row>
    <row r="90" spans="1:32" x14ac:dyDescent="0.3">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row>
    <row r="91" spans="1:32" x14ac:dyDescent="0.3">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row>
    <row r="92" spans="1:32" x14ac:dyDescent="0.3">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row>
    <row r="93" spans="1:32" x14ac:dyDescent="0.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row>
    <row r="94" spans="1:32" x14ac:dyDescent="0.3">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row>
    <row r="95" spans="1:32" x14ac:dyDescent="0.3">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row>
    <row r="96" spans="1:32" x14ac:dyDescent="0.3">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row>
    <row r="97" spans="1:32" x14ac:dyDescent="0.3">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row>
    <row r="98" spans="1:32" x14ac:dyDescent="0.3">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row>
    <row r="99" spans="1:32" x14ac:dyDescent="0.3">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row>
    <row r="100" spans="1:32" x14ac:dyDescent="0.3">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row>
    <row r="101" spans="1:32" x14ac:dyDescent="0.3">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row>
    <row r="102" spans="1:32" x14ac:dyDescent="0.3">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row>
    <row r="103" spans="1:32" x14ac:dyDescent="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row>
    <row r="104" spans="1:32" x14ac:dyDescent="0.3">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row>
    <row r="105" spans="1:32" x14ac:dyDescent="0.3">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row>
    <row r="106" spans="1:32" x14ac:dyDescent="0.3">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row>
    <row r="107" spans="1:32" x14ac:dyDescent="0.3">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row>
    <row r="108" spans="1:32" x14ac:dyDescent="0.3">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row>
    <row r="109" spans="1:32" x14ac:dyDescent="0.3">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row>
    <row r="110" spans="1:32" x14ac:dyDescent="0.3">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row>
    <row r="111" spans="1:32"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row>
    <row r="112" spans="1:32" x14ac:dyDescent="0.3">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row>
    <row r="113" spans="1:32"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row>
    <row r="114" spans="1:32"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row>
    <row r="115" spans="1:32" x14ac:dyDescent="0.3">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row>
    <row r="116" spans="1:32"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row>
    <row r="117" spans="1:32" x14ac:dyDescent="0.3">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row>
    <row r="118" spans="1:32" x14ac:dyDescent="0.3">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row>
    <row r="119" spans="1:32" x14ac:dyDescent="0.3">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row>
    <row r="120" spans="1:32" x14ac:dyDescent="0.3">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row>
    <row r="121" spans="1:32" x14ac:dyDescent="0.3">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spans="1:32"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spans="1:32" x14ac:dyDescent="0.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spans="1:32" x14ac:dyDescent="0.3">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spans="1:32" x14ac:dyDescent="0.3">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spans="1:32" x14ac:dyDescent="0.3">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spans="1:32" x14ac:dyDescent="0.3">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spans="1:32" x14ac:dyDescent="0.3">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spans="1:32"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spans="1:32" x14ac:dyDescent="0.3">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spans="1:32"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spans="1:32" x14ac:dyDescent="0.3">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spans="1:32" x14ac:dyDescent="0.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spans="1:32" x14ac:dyDescent="0.3">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spans="1:32" x14ac:dyDescent="0.3">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spans="1:32" x14ac:dyDescent="0.3">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spans="1:32" x14ac:dyDescent="0.3">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spans="1:32" x14ac:dyDescent="0.3">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spans="1:32" x14ac:dyDescent="0.3">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spans="1:32"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spans="1:32"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spans="1:32" x14ac:dyDescent="0.3">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sheetData>
  <mergeCells count="1">
    <mergeCell ref="A44:I4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8A589-414D-4138-AB26-1D53409262F4}">
  <sheetPr>
    <tabColor theme="3"/>
  </sheetPr>
  <dimension ref="A1:AF142"/>
  <sheetViews>
    <sheetView showRowColHeaders="0" zoomScale="80" zoomScaleNormal="80" workbookViewId="0"/>
  </sheetViews>
  <sheetFormatPr defaultRowHeight="14.4" x14ac:dyDescent="0.3"/>
  <sheetData>
    <row r="1" spans="1:32" x14ac:dyDescent="0.3">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row>
    <row r="2" spans="1:32"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row>
    <row r="3" spans="1:32" x14ac:dyDescent="0.3">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2"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row>
    <row r="5" spans="1:32"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spans="1:32" x14ac:dyDescent="0.3">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row>
    <row r="7" spans="1:32" x14ac:dyDescent="0.3">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row>
    <row r="8" spans="1:32" x14ac:dyDescent="0.3">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row>
    <row r="9" spans="1:32" x14ac:dyDescent="0.3">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row>
    <row r="10" spans="1:32" x14ac:dyDescent="0.3">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row>
    <row r="11" spans="1:32" x14ac:dyDescent="0.3">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row>
    <row r="12" spans="1:32"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row>
    <row r="13" spans="1:32" x14ac:dyDescent="0.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row>
    <row r="14" spans="1:32" x14ac:dyDescent="0.3">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row>
    <row r="15" spans="1:32" x14ac:dyDescent="0.3">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row>
    <row r="16" spans="1:32" x14ac:dyDescent="0.3">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row>
    <row r="17" spans="1:32" x14ac:dyDescent="0.3">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row>
    <row r="18" spans="1:32"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row>
    <row r="19" spans="1:32"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row>
    <row r="20" spans="1:32"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row>
    <row r="21" spans="1:32"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row>
    <row r="22" spans="1:32"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row>
    <row r="23" spans="1:32"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row>
    <row r="24" spans="1:32" x14ac:dyDescent="0.3">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row>
    <row r="25" spans="1:32" x14ac:dyDescent="0.3">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row>
    <row r="26" spans="1:32" x14ac:dyDescent="0.3">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row>
    <row r="27" spans="1:32" x14ac:dyDescent="0.3">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row>
    <row r="28" spans="1:32" x14ac:dyDescent="0.3">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row>
    <row r="29" spans="1:32" x14ac:dyDescent="0.3">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row>
    <row r="30" spans="1:32" x14ac:dyDescent="0.3">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row>
    <row r="31" spans="1:32" x14ac:dyDescent="0.3">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row>
    <row r="32" spans="1:32" x14ac:dyDescent="0.3">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row>
    <row r="33" spans="1:32" x14ac:dyDescent="0.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row>
    <row r="34" spans="1:32" x14ac:dyDescent="0.3">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row>
    <row r="35" spans="1:32" x14ac:dyDescent="0.3">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row>
    <row r="36" spans="1:32"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row>
    <row r="37" spans="1:32" x14ac:dyDescent="0.3">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row>
    <row r="38" spans="1:32"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row>
    <row r="39" spans="1:32"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row>
    <row r="40" spans="1:32" x14ac:dyDescent="0.3">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row>
    <row r="41" spans="1:32" x14ac:dyDescent="0.3">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row>
    <row r="42" spans="1:32" x14ac:dyDescent="0.3">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row>
    <row r="43" spans="1:32" x14ac:dyDescent="0.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row>
    <row r="44" spans="1:32" x14ac:dyDescent="0.3">
      <c r="A44" s="80"/>
      <c r="B44" s="81"/>
      <c r="C44" s="81"/>
      <c r="D44" s="81"/>
      <c r="E44" s="81"/>
      <c r="F44" s="81"/>
      <c r="G44" s="81"/>
      <c r="H44" s="81"/>
      <c r="I44" s="81"/>
      <c r="J44" s="4"/>
      <c r="K44" s="4"/>
      <c r="L44" s="4"/>
      <c r="M44" s="4"/>
      <c r="N44" s="4"/>
      <c r="O44" s="4"/>
      <c r="P44" s="4"/>
      <c r="Q44" s="4"/>
      <c r="R44" s="4"/>
      <c r="S44" s="4"/>
      <c r="T44" s="4"/>
      <c r="U44" s="4"/>
      <c r="V44" s="4"/>
      <c r="W44" s="4"/>
      <c r="X44" s="4"/>
      <c r="Y44" s="4"/>
      <c r="Z44" s="4"/>
      <c r="AA44" s="4"/>
      <c r="AB44" s="4"/>
      <c r="AC44" s="4"/>
      <c r="AD44" s="4"/>
      <c r="AE44" s="4"/>
      <c r="AF44" s="4"/>
    </row>
    <row r="45" spans="1:32" x14ac:dyDescent="0.3">
      <c r="A45" s="81"/>
      <c r="B45" s="81"/>
      <c r="C45" s="81"/>
      <c r="D45" s="81"/>
      <c r="E45" s="81"/>
      <c r="F45" s="81"/>
      <c r="G45" s="81"/>
      <c r="H45" s="81"/>
      <c r="I45" s="81"/>
      <c r="J45" s="4"/>
      <c r="K45" s="4"/>
      <c r="L45" s="4"/>
      <c r="M45" s="4"/>
      <c r="N45" s="4"/>
      <c r="O45" s="4"/>
      <c r="P45" s="4"/>
      <c r="Q45" s="4"/>
      <c r="R45" s="4"/>
      <c r="S45" s="4"/>
      <c r="T45" s="4"/>
      <c r="U45" s="4"/>
      <c r="V45" s="4"/>
      <c r="W45" s="4"/>
      <c r="X45" s="4"/>
      <c r="Y45" s="4"/>
      <c r="Z45" s="4"/>
      <c r="AA45" s="4"/>
      <c r="AB45" s="4"/>
      <c r="AC45" s="4"/>
      <c r="AD45" s="4"/>
      <c r="AE45" s="4"/>
      <c r="AF45" s="4"/>
    </row>
    <row r="46" spans="1:32" x14ac:dyDescent="0.3">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row>
    <row r="47" spans="1:32" x14ac:dyDescent="0.3">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row>
    <row r="48" spans="1:32" x14ac:dyDescent="0.3">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row>
    <row r="49" spans="1:32" x14ac:dyDescent="0.3">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row>
    <row r="50" spans="1:32" x14ac:dyDescent="0.3">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row>
    <row r="51" spans="1:32" x14ac:dyDescent="0.3">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row>
    <row r="52" spans="1:32" x14ac:dyDescent="0.3">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row>
    <row r="53" spans="1:32" x14ac:dyDescent="0.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row>
    <row r="54" spans="1:32" x14ac:dyDescent="0.3">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row>
    <row r="55" spans="1:32" x14ac:dyDescent="0.3">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row>
    <row r="56" spans="1:32" x14ac:dyDescent="0.3">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row>
    <row r="57" spans="1:32" x14ac:dyDescent="0.3">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row>
    <row r="58" spans="1:32" x14ac:dyDescent="0.3">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row>
    <row r="59" spans="1:32" x14ac:dyDescent="0.3">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row>
    <row r="60" spans="1:32" x14ac:dyDescent="0.3">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row>
    <row r="61" spans="1:32" x14ac:dyDescent="0.3">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row>
    <row r="62" spans="1:32" x14ac:dyDescent="0.3">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row>
    <row r="63" spans="1:32"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row>
    <row r="64" spans="1:32" x14ac:dyDescent="0.3">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row>
    <row r="65" spans="1:32" x14ac:dyDescent="0.3">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row>
    <row r="66" spans="1:32" x14ac:dyDescent="0.3">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row>
    <row r="67" spans="1:32" x14ac:dyDescent="0.3">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row>
    <row r="68" spans="1:32" x14ac:dyDescent="0.3">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row>
    <row r="69" spans="1:32" x14ac:dyDescent="0.3">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row>
    <row r="70" spans="1:32" x14ac:dyDescent="0.3">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row>
    <row r="71" spans="1:32" x14ac:dyDescent="0.3">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row>
    <row r="72" spans="1:32" x14ac:dyDescent="0.3">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row>
    <row r="73" spans="1:32" x14ac:dyDescent="0.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row>
    <row r="74" spans="1:32" x14ac:dyDescent="0.3">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row>
    <row r="75" spans="1:32" x14ac:dyDescent="0.3">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row>
    <row r="76" spans="1:32" x14ac:dyDescent="0.3">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row>
    <row r="77" spans="1:32" x14ac:dyDescent="0.3">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row>
    <row r="78" spans="1:32" x14ac:dyDescent="0.3">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row>
    <row r="79" spans="1:32" x14ac:dyDescent="0.3">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row>
    <row r="80" spans="1:32" x14ac:dyDescent="0.3">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row>
    <row r="81" spans="1:32" x14ac:dyDescent="0.3">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row>
    <row r="82" spans="1:32" x14ac:dyDescent="0.3">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row>
    <row r="83" spans="1:32" x14ac:dyDescent="0.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row>
    <row r="84" spans="1:32" x14ac:dyDescent="0.3">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row>
    <row r="85" spans="1:32" x14ac:dyDescent="0.3">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row>
    <row r="86" spans="1:32" x14ac:dyDescent="0.3">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row>
    <row r="87" spans="1:32" x14ac:dyDescent="0.3">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row>
    <row r="88" spans="1:32" x14ac:dyDescent="0.3">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row>
    <row r="89" spans="1:32" x14ac:dyDescent="0.3">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row>
    <row r="90" spans="1:32" x14ac:dyDescent="0.3">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row>
    <row r="91" spans="1:32" x14ac:dyDescent="0.3">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row>
    <row r="92" spans="1:32" x14ac:dyDescent="0.3">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row>
    <row r="93" spans="1:32" x14ac:dyDescent="0.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row>
    <row r="94" spans="1:32" x14ac:dyDescent="0.3">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row>
    <row r="95" spans="1:32" x14ac:dyDescent="0.3">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row>
    <row r="96" spans="1:32" x14ac:dyDescent="0.3">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row>
    <row r="97" spans="1:32" x14ac:dyDescent="0.3">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row>
    <row r="98" spans="1:32" x14ac:dyDescent="0.3">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row>
    <row r="99" spans="1:32" x14ac:dyDescent="0.3">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row>
    <row r="100" spans="1:32" x14ac:dyDescent="0.3">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row>
    <row r="101" spans="1:32" x14ac:dyDescent="0.3">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row>
    <row r="102" spans="1:32" x14ac:dyDescent="0.3">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row>
    <row r="103" spans="1:32" x14ac:dyDescent="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row>
    <row r="104" spans="1:32" x14ac:dyDescent="0.3">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row>
    <row r="105" spans="1:32" x14ac:dyDescent="0.3">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row>
    <row r="106" spans="1:32" x14ac:dyDescent="0.3">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row>
    <row r="107" spans="1:32" x14ac:dyDescent="0.3">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row>
    <row r="108" spans="1:32" x14ac:dyDescent="0.3">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row>
    <row r="109" spans="1:32" x14ac:dyDescent="0.3">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row>
    <row r="110" spans="1:32" x14ac:dyDescent="0.3">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row>
    <row r="111" spans="1:32"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row>
    <row r="112" spans="1:32" x14ac:dyDescent="0.3">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row>
    <row r="113" spans="1:32"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row>
    <row r="114" spans="1:32"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row>
    <row r="115" spans="1:32" x14ac:dyDescent="0.3">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row>
    <row r="116" spans="1:32"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row>
    <row r="117" spans="1:32" x14ac:dyDescent="0.3">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row>
    <row r="118" spans="1:32" x14ac:dyDescent="0.3">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row>
    <row r="119" spans="1:32" x14ac:dyDescent="0.3">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row>
    <row r="120" spans="1:32" x14ac:dyDescent="0.3">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row>
    <row r="121" spans="1:32" x14ac:dyDescent="0.3">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spans="1:32"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spans="1:32" x14ac:dyDescent="0.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spans="1:32" x14ac:dyDescent="0.3">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spans="1:32" x14ac:dyDescent="0.3">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spans="1:32" x14ac:dyDescent="0.3">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spans="1:32" x14ac:dyDescent="0.3">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spans="1:32" x14ac:dyDescent="0.3">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spans="1:32"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spans="1:32" x14ac:dyDescent="0.3">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spans="1:32"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spans="1:32" x14ac:dyDescent="0.3">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spans="1:32" x14ac:dyDescent="0.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spans="1:32" x14ac:dyDescent="0.3">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spans="1:32" x14ac:dyDescent="0.3">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spans="1:32" x14ac:dyDescent="0.3">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spans="1:32" x14ac:dyDescent="0.3">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spans="1:32" x14ac:dyDescent="0.3">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spans="1:32" x14ac:dyDescent="0.3">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spans="1:32"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spans="1:32"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spans="1:32" x14ac:dyDescent="0.3">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sheetData>
  <mergeCells count="1">
    <mergeCell ref="A44:I4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A7C4C-948D-4D32-99AF-7C53467D81F7}">
  <sheetPr>
    <tabColor rgb="FFFFFF00"/>
  </sheetPr>
  <dimension ref="A1:AF142"/>
  <sheetViews>
    <sheetView showRowColHeaders="0" zoomScale="80" zoomScaleNormal="80" workbookViewId="0"/>
  </sheetViews>
  <sheetFormatPr defaultRowHeight="14.4" x14ac:dyDescent="0.3"/>
  <sheetData>
    <row r="1" spans="1:32" x14ac:dyDescent="0.3">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row>
    <row r="2" spans="1:32"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row>
    <row r="3" spans="1:32" x14ac:dyDescent="0.3">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2"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row>
    <row r="5" spans="1:32"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spans="1:32" x14ac:dyDescent="0.3">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row>
    <row r="7" spans="1:32" x14ac:dyDescent="0.3">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row>
    <row r="8" spans="1:32" x14ac:dyDescent="0.3">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row>
    <row r="9" spans="1:32" x14ac:dyDescent="0.3">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row>
    <row r="10" spans="1:32" x14ac:dyDescent="0.3">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row>
    <row r="11" spans="1:32" x14ac:dyDescent="0.3">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row>
    <row r="12" spans="1:32"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row>
    <row r="13" spans="1:32" x14ac:dyDescent="0.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row>
    <row r="14" spans="1:32" x14ac:dyDescent="0.3">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row>
    <row r="15" spans="1:32" x14ac:dyDescent="0.3">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row>
    <row r="16" spans="1:32" x14ac:dyDescent="0.3">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row>
    <row r="17" spans="1:32" x14ac:dyDescent="0.3">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row>
    <row r="18" spans="1:32"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row>
    <row r="19" spans="1:32"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row>
    <row r="20" spans="1:32"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row>
    <row r="21" spans="1:32"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row>
    <row r="22" spans="1:32"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row>
    <row r="23" spans="1:32"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row>
    <row r="24" spans="1:32" x14ac:dyDescent="0.3">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row>
    <row r="25" spans="1:32" x14ac:dyDescent="0.3">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row>
    <row r="26" spans="1:32" x14ac:dyDescent="0.3">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row>
    <row r="27" spans="1:32" x14ac:dyDescent="0.3">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row>
    <row r="28" spans="1:32" x14ac:dyDescent="0.3">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row>
    <row r="29" spans="1:32" x14ac:dyDescent="0.3">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row>
    <row r="30" spans="1:32" x14ac:dyDescent="0.3">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row>
    <row r="31" spans="1:32" x14ac:dyDescent="0.3">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row>
    <row r="32" spans="1:32" x14ac:dyDescent="0.3">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row>
    <row r="33" spans="1:32" x14ac:dyDescent="0.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row>
    <row r="34" spans="1:32" x14ac:dyDescent="0.3">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row>
    <row r="35" spans="1:32" x14ac:dyDescent="0.3">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row>
    <row r="36" spans="1:32"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row>
    <row r="37" spans="1:32" x14ac:dyDescent="0.3">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row>
    <row r="38" spans="1:32"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row>
    <row r="39" spans="1:32"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row>
    <row r="40" spans="1:32" x14ac:dyDescent="0.3">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row>
    <row r="41" spans="1:32" x14ac:dyDescent="0.3">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row>
    <row r="42" spans="1:32" x14ac:dyDescent="0.3">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row>
    <row r="43" spans="1:32" x14ac:dyDescent="0.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row>
    <row r="44" spans="1:32" x14ac:dyDescent="0.3">
      <c r="A44" s="80"/>
      <c r="B44" s="81"/>
      <c r="C44" s="81"/>
      <c r="D44" s="81"/>
      <c r="E44" s="81"/>
      <c r="F44" s="81"/>
      <c r="G44" s="81"/>
      <c r="H44" s="81"/>
      <c r="I44" s="81"/>
      <c r="J44" s="4"/>
      <c r="K44" s="4"/>
      <c r="L44" s="4"/>
      <c r="M44" s="4"/>
      <c r="N44" s="4"/>
      <c r="O44" s="4"/>
      <c r="P44" s="4"/>
      <c r="Q44" s="4"/>
      <c r="R44" s="4"/>
      <c r="S44" s="4"/>
      <c r="T44" s="4"/>
      <c r="U44" s="4"/>
      <c r="V44" s="4"/>
      <c r="W44" s="4"/>
      <c r="X44" s="4"/>
      <c r="Y44" s="4"/>
      <c r="Z44" s="4"/>
      <c r="AA44" s="4"/>
      <c r="AB44" s="4"/>
      <c r="AC44" s="4"/>
      <c r="AD44" s="4"/>
      <c r="AE44" s="4"/>
      <c r="AF44" s="4"/>
    </row>
    <row r="45" spans="1:32" x14ac:dyDescent="0.3">
      <c r="A45" s="81"/>
      <c r="B45" s="81"/>
      <c r="C45" s="81"/>
      <c r="D45" s="81"/>
      <c r="E45" s="81"/>
      <c r="F45" s="81"/>
      <c r="G45" s="81"/>
      <c r="H45" s="81"/>
      <c r="I45" s="81"/>
      <c r="J45" s="4"/>
      <c r="K45" s="4"/>
      <c r="L45" s="4"/>
      <c r="M45" s="4"/>
      <c r="N45" s="4"/>
      <c r="O45" s="4"/>
      <c r="P45" s="4"/>
      <c r="Q45" s="4"/>
      <c r="R45" s="4"/>
      <c r="S45" s="4"/>
      <c r="T45" s="4"/>
      <c r="U45" s="4"/>
      <c r="V45" s="4"/>
      <c r="W45" s="4"/>
      <c r="X45" s="4"/>
      <c r="Y45" s="4"/>
      <c r="Z45" s="4"/>
      <c r="AA45" s="4"/>
      <c r="AB45" s="4"/>
      <c r="AC45" s="4"/>
      <c r="AD45" s="4"/>
      <c r="AE45" s="4"/>
      <c r="AF45" s="4"/>
    </row>
    <row r="46" spans="1:32" x14ac:dyDescent="0.3">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row>
    <row r="47" spans="1:32" x14ac:dyDescent="0.3">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row>
    <row r="48" spans="1:32" x14ac:dyDescent="0.3">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row>
    <row r="49" spans="1:32" x14ac:dyDescent="0.3">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row>
    <row r="50" spans="1:32" x14ac:dyDescent="0.3">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row>
    <row r="51" spans="1:32" x14ac:dyDescent="0.3">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row>
    <row r="52" spans="1:32" x14ac:dyDescent="0.3">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row>
    <row r="53" spans="1:32" x14ac:dyDescent="0.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row>
    <row r="54" spans="1:32" x14ac:dyDescent="0.3">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row>
    <row r="55" spans="1:32" x14ac:dyDescent="0.3">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row>
    <row r="56" spans="1:32" x14ac:dyDescent="0.3">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row>
    <row r="57" spans="1:32" x14ac:dyDescent="0.3">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row>
    <row r="58" spans="1:32" x14ac:dyDescent="0.3">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row>
    <row r="59" spans="1:32" x14ac:dyDescent="0.3">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row>
    <row r="60" spans="1:32" x14ac:dyDescent="0.3">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row>
    <row r="61" spans="1:32" x14ac:dyDescent="0.3">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row>
    <row r="62" spans="1:32" x14ac:dyDescent="0.3">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row>
    <row r="63" spans="1:32"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row>
    <row r="64" spans="1:32" x14ac:dyDescent="0.3">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row>
    <row r="65" spans="1:32" x14ac:dyDescent="0.3">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row>
    <row r="66" spans="1:32" x14ac:dyDescent="0.3">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row>
    <row r="67" spans="1:32" x14ac:dyDescent="0.3">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row>
    <row r="68" spans="1:32" x14ac:dyDescent="0.3">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row>
    <row r="69" spans="1:32" x14ac:dyDescent="0.3">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row>
    <row r="70" spans="1:32" x14ac:dyDescent="0.3">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row>
    <row r="71" spans="1:32" x14ac:dyDescent="0.3">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row>
    <row r="72" spans="1:32" x14ac:dyDescent="0.3">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row>
    <row r="73" spans="1:32" x14ac:dyDescent="0.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row>
    <row r="74" spans="1:32" x14ac:dyDescent="0.3">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row>
    <row r="75" spans="1:32" x14ac:dyDescent="0.3">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row>
    <row r="76" spans="1:32" x14ac:dyDescent="0.3">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row>
    <row r="77" spans="1:32" x14ac:dyDescent="0.3">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row>
    <row r="78" spans="1:32" x14ac:dyDescent="0.3">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row>
    <row r="79" spans="1:32" x14ac:dyDescent="0.3">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row>
    <row r="80" spans="1:32" x14ac:dyDescent="0.3">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row>
    <row r="81" spans="1:32" x14ac:dyDescent="0.3">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row>
    <row r="82" spans="1:32" x14ac:dyDescent="0.3">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row>
    <row r="83" spans="1:32" x14ac:dyDescent="0.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row>
    <row r="84" spans="1:32" x14ac:dyDescent="0.3">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row>
    <row r="85" spans="1:32" x14ac:dyDescent="0.3">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row>
    <row r="86" spans="1:32" x14ac:dyDescent="0.3">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row>
    <row r="87" spans="1:32" x14ac:dyDescent="0.3">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row>
    <row r="88" spans="1:32" x14ac:dyDescent="0.3">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row>
    <row r="89" spans="1:32" x14ac:dyDescent="0.3">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row>
    <row r="90" spans="1:32" x14ac:dyDescent="0.3">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row>
    <row r="91" spans="1:32" x14ac:dyDescent="0.3">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row>
    <row r="92" spans="1:32" x14ac:dyDescent="0.3">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row>
    <row r="93" spans="1:32" x14ac:dyDescent="0.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row>
    <row r="94" spans="1:32" x14ac:dyDescent="0.3">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row>
    <row r="95" spans="1:32" x14ac:dyDescent="0.3">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row>
    <row r="96" spans="1:32" x14ac:dyDescent="0.3">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row>
    <row r="97" spans="1:32" x14ac:dyDescent="0.3">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row>
    <row r="98" spans="1:32" x14ac:dyDescent="0.3">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row>
    <row r="99" spans="1:32" x14ac:dyDescent="0.3">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row>
    <row r="100" spans="1:32" x14ac:dyDescent="0.3">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row>
    <row r="101" spans="1:32" x14ac:dyDescent="0.3">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row>
    <row r="102" spans="1:32" x14ac:dyDescent="0.3">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row>
    <row r="103" spans="1:32" x14ac:dyDescent="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row>
    <row r="104" spans="1:32" x14ac:dyDescent="0.3">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row>
    <row r="105" spans="1:32" x14ac:dyDescent="0.3">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row>
    <row r="106" spans="1:32" x14ac:dyDescent="0.3">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row>
    <row r="107" spans="1:32" x14ac:dyDescent="0.3">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row>
    <row r="108" spans="1:32" x14ac:dyDescent="0.3">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row>
    <row r="109" spans="1:32" x14ac:dyDescent="0.3">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row>
    <row r="110" spans="1:32" x14ac:dyDescent="0.3">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row>
    <row r="111" spans="1:32"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row>
    <row r="112" spans="1:32" x14ac:dyDescent="0.3">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row>
    <row r="113" spans="1:32"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row>
    <row r="114" spans="1:32"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row>
    <row r="115" spans="1:32" x14ac:dyDescent="0.3">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row>
    <row r="116" spans="1:32"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row>
    <row r="117" spans="1:32" x14ac:dyDescent="0.3">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row>
    <row r="118" spans="1:32" x14ac:dyDescent="0.3">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row>
    <row r="119" spans="1:32" x14ac:dyDescent="0.3">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row>
    <row r="120" spans="1:32" x14ac:dyDescent="0.3">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row>
    <row r="121" spans="1:32" x14ac:dyDescent="0.3">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spans="1:32"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spans="1:32" x14ac:dyDescent="0.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spans="1:32" x14ac:dyDescent="0.3">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spans="1:32" x14ac:dyDescent="0.3">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spans="1:32" x14ac:dyDescent="0.3">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spans="1:32" x14ac:dyDescent="0.3">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spans="1:32" x14ac:dyDescent="0.3">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spans="1:32"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spans="1:32" x14ac:dyDescent="0.3">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spans="1:32"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spans="1:32" x14ac:dyDescent="0.3">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spans="1:32" x14ac:dyDescent="0.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spans="1:32" x14ac:dyDescent="0.3">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spans="1:32" x14ac:dyDescent="0.3">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spans="1:32" x14ac:dyDescent="0.3">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spans="1:32" x14ac:dyDescent="0.3">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spans="1:32" x14ac:dyDescent="0.3">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spans="1:32" x14ac:dyDescent="0.3">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spans="1:32"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spans="1:32"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spans="1:32" x14ac:dyDescent="0.3">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sheetData>
  <mergeCells count="1">
    <mergeCell ref="A44:I4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01F38-704E-4187-A566-6602C7F7ABA7}">
  <sheetPr>
    <tabColor rgb="FFFF0000"/>
  </sheetPr>
  <dimension ref="A1:AF142"/>
  <sheetViews>
    <sheetView showRowColHeaders="0" zoomScale="80" zoomScaleNormal="80" workbookViewId="0"/>
  </sheetViews>
  <sheetFormatPr defaultRowHeight="14.4" x14ac:dyDescent="0.3"/>
  <sheetData>
    <row r="1" spans="1:32" x14ac:dyDescent="0.3">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row>
    <row r="2" spans="1:32"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row>
    <row r="3" spans="1:32" x14ac:dyDescent="0.3">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2"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row>
    <row r="5" spans="1:32"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spans="1:32" x14ac:dyDescent="0.3">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row>
    <row r="7" spans="1:32" x14ac:dyDescent="0.3">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row>
    <row r="8" spans="1:32" x14ac:dyDescent="0.3">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row>
    <row r="9" spans="1:32" x14ac:dyDescent="0.3">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row>
    <row r="10" spans="1:32" x14ac:dyDescent="0.3">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row>
    <row r="11" spans="1:32" x14ac:dyDescent="0.3">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row>
    <row r="12" spans="1:32"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row>
    <row r="13" spans="1:32" x14ac:dyDescent="0.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row>
    <row r="14" spans="1:32" x14ac:dyDescent="0.3">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row>
    <row r="15" spans="1:32" x14ac:dyDescent="0.3">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row>
    <row r="16" spans="1:32" x14ac:dyDescent="0.3">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row>
    <row r="17" spans="1:32" x14ac:dyDescent="0.3">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row>
    <row r="18" spans="1:32"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row>
    <row r="19" spans="1:32"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row>
    <row r="20" spans="1:32"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row>
    <row r="21" spans="1:32"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row>
    <row r="22" spans="1:32"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row>
    <row r="23" spans="1:32"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row>
    <row r="24" spans="1:32" x14ac:dyDescent="0.3">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row>
    <row r="25" spans="1:32" x14ac:dyDescent="0.3">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row>
    <row r="26" spans="1:32" x14ac:dyDescent="0.3">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row>
    <row r="27" spans="1:32" x14ac:dyDescent="0.3">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row>
    <row r="28" spans="1:32" x14ac:dyDescent="0.3">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row>
    <row r="29" spans="1:32" x14ac:dyDescent="0.3">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row>
    <row r="30" spans="1:32" x14ac:dyDescent="0.3">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row>
    <row r="31" spans="1:32" x14ac:dyDescent="0.3">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row>
    <row r="32" spans="1:32" x14ac:dyDescent="0.3">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row>
    <row r="33" spans="1:32" x14ac:dyDescent="0.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row>
    <row r="34" spans="1:32" x14ac:dyDescent="0.3">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row>
    <row r="35" spans="1:32" x14ac:dyDescent="0.3">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row>
    <row r="36" spans="1:32"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row>
    <row r="37" spans="1:32" x14ac:dyDescent="0.3">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row>
    <row r="38" spans="1:32"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row>
    <row r="39" spans="1:32"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row>
    <row r="40" spans="1:32" x14ac:dyDescent="0.3">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row>
    <row r="41" spans="1:32" x14ac:dyDescent="0.3">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row>
    <row r="42" spans="1:32" x14ac:dyDescent="0.3">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row>
    <row r="43" spans="1:32" x14ac:dyDescent="0.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row>
    <row r="44" spans="1:32" x14ac:dyDescent="0.3">
      <c r="A44" s="80"/>
      <c r="B44" s="81"/>
      <c r="C44" s="81"/>
      <c r="D44" s="81"/>
      <c r="E44" s="81"/>
      <c r="F44" s="81"/>
      <c r="G44" s="81"/>
      <c r="H44" s="81"/>
      <c r="I44" s="81"/>
      <c r="J44" s="4"/>
      <c r="K44" s="4"/>
      <c r="L44" s="4"/>
      <c r="M44" s="4"/>
      <c r="N44" s="4"/>
      <c r="O44" s="4"/>
      <c r="P44" s="4"/>
      <c r="Q44" s="4"/>
      <c r="R44" s="4"/>
      <c r="S44" s="4"/>
      <c r="T44" s="4"/>
      <c r="U44" s="4"/>
      <c r="V44" s="4"/>
      <c r="W44" s="4"/>
      <c r="X44" s="4"/>
      <c r="Y44" s="4"/>
      <c r="Z44" s="4"/>
      <c r="AA44" s="4"/>
      <c r="AB44" s="4"/>
      <c r="AC44" s="4"/>
      <c r="AD44" s="4"/>
      <c r="AE44" s="4"/>
      <c r="AF44" s="4"/>
    </row>
    <row r="45" spans="1:32" x14ac:dyDescent="0.3">
      <c r="A45" s="81"/>
      <c r="B45" s="81"/>
      <c r="C45" s="81"/>
      <c r="D45" s="81"/>
      <c r="E45" s="81"/>
      <c r="F45" s="81"/>
      <c r="G45" s="81"/>
      <c r="H45" s="81"/>
      <c r="I45" s="81"/>
      <c r="J45" s="4"/>
      <c r="K45" s="4"/>
      <c r="L45" s="4"/>
      <c r="M45" s="4"/>
      <c r="N45" s="4"/>
      <c r="O45" s="4"/>
      <c r="P45" s="4"/>
      <c r="Q45" s="4"/>
      <c r="R45" s="4"/>
      <c r="S45" s="4"/>
      <c r="T45" s="4"/>
      <c r="U45" s="4"/>
      <c r="V45" s="4"/>
      <c r="W45" s="4"/>
      <c r="X45" s="4"/>
      <c r="Y45" s="4"/>
      <c r="Z45" s="4"/>
      <c r="AA45" s="4"/>
      <c r="AB45" s="4"/>
      <c r="AC45" s="4"/>
      <c r="AD45" s="4"/>
      <c r="AE45" s="4"/>
      <c r="AF45" s="4"/>
    </row>
    <row r="46" spans="1:32" x14ac:dyDescent="0.3">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row>
    <row r="47" spans="1:32" x14ac:dyDescent="0.3">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row>
    <row r="48" spans="1:32" x14ac:dyDescent="0.3">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row>
    <row r="49" spans="1:32" x14ac:dyDescent="0.3">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row>
    <row r="50" spans="1:32" x14ac:dyDescent="0.3">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row>
    <row r="51" spans="1:32" x14ac:dyDescent="0.3">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row>
    <row r="52" spans="1:32" x14ac:dyDescent="0.3">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row>
    <row r="53" spans="1:32" x14ac:dyDescent="0.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row>
    <row r="54" spans="1:32" x14ac:dyDescent="0.3">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row>
    <row r="55" spans="1:32" x14ac:dyDescent="0.3">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row>
    <row r="56" spans="1:32" x14ac:dyDescent="0.3">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row>
    <row r="57" spans="1:32" x14ac:dyDescent="0.3">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row>
    <row r="58" spans="1:32" x14ac:dyDescent="0.3">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row>
    <row r="59" spans="1:32" x14ac:dyDescent="0.3">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row>
    <row r="60" spans="1:32" x14ac:dyDescent="0.3">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row>
    <row r="61" spans="1:32" x14ac:dyDescent="0.3">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row>
    <row r="62" spans="1:32" x14ac:dyDescent="0.3">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row>
    <row r="63" spans="1:32"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row>
    <row r="64" spans="1:32" x14ac:dyDescent="0.3">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row>
    <row r="65" spans="1:32" x14ac:dyDescent="0.3">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row>
    <row r="66" spans="1:32" x14ac:dyDescent="0.3">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row>
    <row r="67" spans="1:32" x14ac:dyDescent="0.3">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row>
    <row r="68" spans="1:32" x14ac:dyDescent="0.3">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row>
    <row r="69" spans="1:32" x14ac:dyDescent="0.3">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row>
    <row r="70" spans="1:32" x14ac:dyDescent="0.3">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row>
    <row r="71" spans="1:32" x14ac:dyDescent="0.3">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row>
    <row r="72" spans="1:32" x14ac:dyDescent="0.3">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row>
    <row r="73" spans="1:32" x14ac:dyDescent="0.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row>
    <row r="74" spans="1:32" x14ac:dyDescent="0.3">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row>
    <row r="75" spans="1:32" x14ac:dyDescent="0.3">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row>
    <row r="76" spans="1:32" x14ac:dyDescent="0.3">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row>
    <row r="77" spans="1:32" x14ac:dyDescent="0.3">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row>
    <row r="78" spans="1:32" x14ac:dyDescent="0.3">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row>
    <row r="79" spans="1:32" x14ac:dyDescent="0.3">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row>
    <row r="80" spans="1:32" x14ac:dyDescent="0.3">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row>
    <row r="81" spans="1:32" x14ac:dyDescent="0.3">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row>
    <row r="82" spans="1:32" x14ac:dyDescent="0.3">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row>
    <row r="83" spans="1:32" x14ac:dyDescent="0.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row>
    <row r="84" spans="1:32" x14ac:dyDescent="0.3">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row>
    <row r="85" spans="1:32" x14ac:dyDescent="0.3">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row>
    <row r="86" spans="1:32" x14ac:dyDescent="0.3">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row>
    <row r="87" spans="1:32" x14ac:dyDescent="0.3">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row>
    <row r="88" spans="1:32" x14ac:dyDescent="0.3">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row>
    <row r="89" spans="1:32" x14ac:dyDescent="0.3">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row>
    <row r="90" spans="1:32" x14ac:dyDescent="0.3">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row>
    <row r="91" spans="1:32" x14ac:dyDescent="0.3">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row>
    <row r="92" spans="1:32" x14ac:dyDescent="0.3">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row>
    <row r="93" spans="1:32" x14ac:dyDescent="0.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row>
    <row r="94" spans="1:32" x14ac:dyDescent="0.3">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row>
    <row r="95" spans="1:32" x14ac:dyDescent="0.3">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row>
    <row r="96" spans="1:32" x14ac:dyDescent="0.3">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row>
    <row r="97" spans="1:32" x14ac:dyDescent="0.3">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row>
    <row r="98" spans="1:32" x14ac:dyDescent="0.3">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row>
    <row r="99" spans="1:32" x14ac:dyDescent="0.3">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row>
    <row r="100" spans="1:32" x14ac:dyDescent="0.3">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row>
    <row r="101" spans="1:32" x14ac:dyDescent="0.3">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row>
    <row r="102" spans="1:32" x14ac:dyDescent="0.3">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row>
    <row r="103" spans="1:32" x14ac:dyDescent="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row>
    <row r="104" spans="1:32" x14ac:dyDescent="0.3">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row>
    <row r="105" spans="1:32" x14ac:dyDescent="0.3">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row>
    <row r="106" spans="1:32" x14ac:dyDescent="0.3">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row>
    <row r="107" spans="1:32" x14ac:dyDescent="0.3">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row>
    <row r="108" spans="1:32" x14ac:dyDescent="0.3">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row>
    <row r="109" spans="1:32" x14ac:dyDescent="0.3">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row>
    <row r="110" spans="1:32" x14ac:dyDescent="0.3">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row>
    <row r="111" spans="1:32"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row>
    <row r="112" spans="1:32" x14ac:dyDescent="0.3">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row>
    <row r="113" spans="1:32"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row>
    <row r="114" spans="1:32"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row>
    <row r="115" spans="1:32" x14ac:dyDescent="0.3">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row>
    <row r="116" spans="1:32"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row>
    <row r="117" spans="1:32" x14ac:dyDescent="0.3">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row>
    <row r="118" spans="1:32" x14ac:dyDescent="0.3">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row>
    <row r="119" spans="1:32" x14ac:dyDescent="0.3">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row>
    <row r="120" spans="1:32" x14ac:dyDescent="0.3">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row>
    <row r="121" spans="1:32" x14ac:dyDescent="0.3">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spans="1:32"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spans="1:32" x14ac:dyDescent="0.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spans="1:32" x14ac:dyDescent="0.3">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spans="1:32" x14ac:dyDescent="0.3">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spans="1:32" x14ac:dyDescent="0.3">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spans="1:32" x14ac:dyDescent="0.3">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spans="1:32" x14ac:dyDescent="0.3">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spans="1:32"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spans="1:32" x14ac:dyDescent="0.3">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spans="1:32"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spans="1:32" x14ac:dyDescent="0.3">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spans="1:32" x14ac:dyDescent="0.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spans="1:32" x14ac:dyDescent="0.3">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spans="1:32" x14ac:dyDescent="0.3">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spans="1:32" x14ac:dyDescent="0.3">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spans="1:32" x14ac:dyDescent="0.3">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spans="1:32" x14ac:dyDescent="0.3">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spans="1:32" x14ac:dyDescent="0.3">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spans="1:32"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spans="1:32"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spans="1:32" x14ac:dyDescent="0.3">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sheetData>
  <mergeCells count="1">
    <mergeCell ref="A44:I4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8BAE9-DB0A-40F1-88E6-514221717EEC}">
  <sheetPr>
    <tabColor rgb="FF92D050"/>
  </sheetPr>
  <dimension ref="A1:AF142"/>
  <sheetViews>
    <sheetView showRowColHeaders="0" zoomScale="80" zoomScaleNormal="80" workbookViewId="0"/>
  </sheetViews>
  <sheetFormatPr defaultRowHeight="14.4" x14ac:dyDescent="0.3"/>
  <sheetData>
    <row r="1" spans="1:32" x14ac:dyDescent="0.3">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row>
    <row r="2" spans="1:32"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row>
    <row r="3" spans="1:32" x14ac:dyDescent="0.3">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2"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row>
    <row r="5" spans="1:32"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spans="1:32" x14ac:dyDescent="0.3">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row>
    <row r="7" spans="1:32" x14ac:dyDescent="0.3">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row>
    <row r="8" spans="1:32" x14ac:dyDescent="0.3">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row>
    <row r="9" spans="1:32" x14ac:dyDescent="0.3">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row>
    <row r="10" spans="1:32" x14ac:dyDescent="0.3">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row>
    <row r="11" spans="1:32" x14ac:dyDescent="0.3">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row>
    <row r="12" spans="1:32"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row>
    <row r="13" spans="1:32" x14ac:dyDescent="0.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row>
    <row r="14" spans="1:32" x14ac:dyDescent="0.3">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row>
    <row r="15" spans="1:32" x14ac:dyDescent="0.3">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row>
    <row r="16" spans="1:32" x14ac:dyDescent="0.3">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row>
    <row r="17" spans="1:32" x14ac:dyDescent="0.3">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row>
    <row r="18" spans="1:32"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row>
    <row r="19" spans="1:32"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row>
    <row r="20" spans="1:32"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row>
    <row r="21" spans="1:32"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row>
    <row r="22" spans="1:32"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row>
    <row r="23" spans="1:32"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row>
    <row r="24" spans="1:32" x14ac:dyDescent="0.3">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row>
    <row r="25" spans="1:32" x14ac:dyDescent="0.3">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row>
    <row r="26" spans="1:32" x14ac:dyDescent="0.3">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row>
    <row r="27" spans="1:32" x14ac:dyDescent="0.3">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row>
    <row r="28" spans="1:32" x14ac:dyDescent="0.3">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row>
    <row r="29" spans="1:32" x14ac:dyDescent="0.3">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row>
    <row r="30" spans="1:32" x14ac:dyDescent="0.3">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row>
    <row r="31" spans="1:32" x14ac:dyDescent="0.3">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row>
    <row r="32" spans="1:32" x14ac:dyDescent="0.3">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row>
    <row r="33" spans="1:32" x14ac:dyDescent="0.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row>
    <row r="34" spans="1:32" x14ac:dyDescent="0.3">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row>
    <row r="35" spans="1:32" x14ac:dyDescent="0.3">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row>
    <row r="36" spans="1:32"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row>
    <row r="37" spans="1:32" x14ac:dyDescent="0.3">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row>
    <row r="38" spans="1:32"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row>
    <row r="39" spans="1:32"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row>
    <row r="40" spans="1:32" x14ac:dyDescent="0.3">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row>
    <row r="41" spans="1:32" x14ac:dyDescent="0.3">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row>
    <row r="42" spans="1:32" x14ac:dyDescent="0.3">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row>
    <row r="43" spans="1:32" x14ac:dyDescent="0.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row>
    <row r="44" spans="1:32" x14ac:dyDescent="0.3">
      <c r="A44" s="80"/>
      <c r="B44" s="81"/>
      <c r="C44" s="81"/>
      <c r="D44" s="81"/>
      <c r="E44" s="81"/>
      <c r="F44" s="81"/>
      <c r="G44" s="81"/>
      <c r="H44" s="81"/>
      <c r="I44" s="81"/>
      <c r="J44" s="4"/>
      <c r="K44" s="4"/>
      <c r="L44" s="4"/>
      <c r="M44" s="4"/>
      <c r="N44" s="4"/>
      <c r="O44" s="4"/>
      <c r="P44" s="4"/>
      <c r="Q44" s="4"/>
      <c r="R44" s="4"/>
      <c r="S44" s="4"/>
      <c r="T44" s="4"/>
      <c r="U44" s="4"/>
      <c r="V44" s="4"/>
      <c r="W44" s="4"/>
      <c r="X44" s="4"/>
      <c r="Y44" s="4"/>
      <c r="Z44" s="4"/>
      <c r="AA44" s="4"/>
      <c r="AB44" s="4"/>
      <c r="AC44" s="4"/>
      <c r="AD44" s="4"/>
      <c r="AE44" s="4"/>
      <c r="AF44" s="4"/>
    </row>
    <row r="45" spans="1:32" x14ac:dyDescent="0.3">
      <c r="A45" s="81"/>
      <c r="B45" s="81"/>
      <c r="C45" s="81"/>
      <c r="D45" s="81"/>
      <c r="E45" s="81"/>
      <c r="F45" s="81"/>
      <c r="G45" s="81"/>
      <c r="H45" s="81"/>
      <c r="I45" s="81"/>
      <c r="J45" s="4"/>
      <c r="K45" s="4"/>
      <c r="L45" s="4"/>
      <c r="M45" s="4"/>
      <c r="N45" s="4"/>
      <c r="O45" s="4"/>
      <c r="P45" s="4"/>
      <c r="Q45" s="4"/>
      <c r="R45" s="4"/>
      <c r="S45" s="4"/>
      <c r="T45" s="4"/>
      <c r="U45" s="4"/>
      <c r="V45" s="4"/>
      <c r="W45" s="4"/>
      <c r="X45" s="4"/>
      <c r="Y45" s="4"/>
      <c r="Z45" s="4"/>
      <c r="AA45" s="4"/>
      <c r="AB45" s="4"/>
      <c r="AC45" s="4"/>
      <c r="AD45" s="4"/>
      <c r="AE45" s="4"/>
      <c r="AF45" s="4"/>
    </row>
    <row r="46" spans="1:32" x14ac:dyDescent="0.3">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row>
    <row r="47" spans="1:32" x14ac:dyDescent="0.3">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row>
    <row r="48" spans="1:32" x14ac:dyDescent="0.3">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row>
    <row r="49" spans="1:32" x14ac:dyDescent="0.3">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row>
    <row r="50" spans="1:32" x14ac:dyDescent="0.3">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row>
    <row r="51" spans="1:32" x14ac:dyDescent="0.3">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row>
    <row r="52" spans="1:32" x14ac:dyDescent="0.3">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row>
    <row r="53" spans="1:32" x14ac:dyDescent="0.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row>
    <row r="54" spans="1:32" x14ac:dyDescent="0.3">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row>
    <row r="55" spans="1:32" x14ac:dyDescent="0.3">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row>
    <row r="56" spans="1:32" x14ac:dyDescent="0.3">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row>
    <row r="57" spans="1:32" x14ac:dyDescent="0.3">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row>
    <row r="58" spans="1:32" x14ac:dyDescent="0.3">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row>
    <row r="59" spans="1:32" x14ac:dyDescent="0.3">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row>
    <row r="60" spans="1:32" x14ac:dyDescent="0.3">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row>
    <row r="61" spans="1:32" x14ac:dyDescent="0.3">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row>
    <row r="62" spans="1:32" x14ac:dyDescent="0.3">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row>
    <row r="63" spans="1:32"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row>
    <row r="64" spans="1:32" x14ac:dyDescent="0.3">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row>
    <row r="65" spans="1:32" x14ac:dyDescent="0.3">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row>
    <row r="66" spans="1:32" x14ac:dyDescent="0.3">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row>
    <row r="67" spans="1:32" x14ac:dyDescent="0.3">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row>
    <row r="68" spans="1:32" x14ac:dyDescent="0.3">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row>
    <row r="69" spans="1:32" x14ac:dyDescent="0.3">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row>
    <row r="70" spans="1:32" x14ac:dyDescent="0.3">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row>
    <row r="71" spans="1:32" x14ac:dyDescent="0.3">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row>
    <row r="72" spans="1:32" x14ac:dyDescent="0.3">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row>
    <row r="73" spans="1:32" x14ac:dyDescent="0.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row>
    <row r="74" spans="1:32" x14ac:dyDescent="0.3">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row>
    <row r="75" spans="1:32" x14ac:dyDescent="0.3">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row>
    <row r="76" spans="1:32" x14ac:dyDescent="0.3">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row>
    <row r="77" spans="1:32" x14ac:dyDescent="0.3">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row>
    <row r="78" spans="1:32" x14ac:dyDescent="0.3">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row>
    <row r="79" spans="1:32" x14ac:dyDescent="0.3">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row>
    <row r="80" spans="1:32" x14ac:dyDescent="0.3">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row>
    <row r="81" spans="1:32" x14ac:dyDescent="0.3">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row>
    <row r="82" spans="1:32" x14ac:dyDescent="0.3">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row>
    <row r="83" spans="1:32" x14ac:dyDescent="0.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row>
    <row r="84" spans="1:32" x14ac:dyDescent="0.3">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row>
    <row r="85" spans="1:32" x14ac:dyDescent="0.3">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row>
    <row r="86" spans="1:32" x14ac:dyDescent="0.3">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row>
    <row r="87" spans="1:32" x14ac:dyDescent="0.3">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row>
    <row r="88" spans="1:32" x14ac:dyDescent="0.3">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row>
    <row r="89" spans="1:32" x14ac:dyDescent="0.3">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row>
    <row r="90" spans="1:32" x14ac:dyDescent="0.3">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row>
    <row r="91" spans="1:32" x14ac:dyDescent="0.3">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row>
    <row r="92" spans="1:32" x14ac:dyDescent="0.3">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row>
    <row r="93" spans="1:32" x14ac:dyDescent="0.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row>
    <row r="94" spans="1:32" x14ac:dyDescent="0.3">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row>
    <row r="95" spans="1:32" x14ac:dyDescent="0.3">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row>
    <row r="96" spans="1:32" x14ac:dyDescent="0.3">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row>
    <row r="97" spans="1:32" x14ac:dyDescent="0.3">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row>
    <row r="98" spans="1:32" x14ac:dyDescent="0.3">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row>
    <row r="99" spans="1:32" x14ac:dyDescent="0.3">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row>
    <row r="100" spans="1:32" x14ac:dyDescent="0.3">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row>
    <row r="101" spans="1:32" x14ac:dyDescent="0.3">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row>
    <row r="102" spans="1:32" x14ac:dyDescent="0.3">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row>
    <row r="103" spans="1:32" x14ac:dyDescent="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row>
    <row r="104" spans="1:32" x14ac:dyDescent="0.3">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row>
    <row r="105" spans="1:32" x14ac:dyDescent="0.3">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row>
    <row r="106" spans="1:32" x14ac:dyDescent="0.3">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row>
    <row r="107" spans="1:32" x14ac:dyDescent="0.3">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row>
    <row r="108" spans="1:32" x14ac:dyDescent="0.3">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row>
    <row r="109" spans="1:32" x14ac:dyDescent="0.3">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row>
    <row r="110" spans="1:32" x14ac:dyDescent="0.3">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row>
    <row r="111" spans="1:32"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row>
    <row r="112" spans="1:32" x14ac:dyDescent="0.3">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row>
    <row r="113" spans="1:32"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row>
    <row r="114" spans="1:32"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row>
    <row r="115" spans="1:32" x14ac:dyDescent="0.3">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row>
    <row r="116" spans="1:32"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row>
    <row r="117" spans="1:32" x14ac:dyDescent="0.3">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row>
    <row r="118" spans="1:32" x14ac:dyDescent="0.3">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row>
    <row r="119" spans="1:32" x14ac:dyDescent="0.3">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row>
    <row r="120" spans="1:32" x14ac:dyDescent="0.3">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row>
    <row r="121" spans="1:32" x14ac:dyDescent="0.3">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spans="1:32"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spans="1:32" x14ac:dyDescent="0.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spans="1:32" x14ac:dyDescent="0.3">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spans="1:32" x14ac:dyDescent="0.3">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spans="1:32" x14ac:dyDescent="0.3">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spans="1:32" x14ac:dyDescent="0.3">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spans="1:32" x14ac:dyDescent="0.3">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spans="1:32"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spans="1:32" x14ac:dyDescent="0.3">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spans="1:32"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spans="1:32" x14ac:dyDescent="0.3">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spans="1:32" x14ac:dyDescent="0.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spans="1:32" x14ac:dyDescent="0.3">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spans="1:32" x14ac:dyDescent="0.3">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spans="1:32" x14ac:dyDescent="0.3">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spans="1:32" x14ac:dyDescent="0.3">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spans="1:32" x14ac:dyDescent="0.3">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spans="1:32" x14ac:dyDescent="0.3">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spans="1:32"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spans="1:32"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spans="1:32" x14ac:dyDescent="0.3">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sheetData>
  <mergeCells count="1">
    <mergeCell ref="A44:I4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3DEF1-A0EB-4D42-BB50-EC34FA4C592F}">
  <dimension ref="A3:Y93"/>
  <sheetViews>
    <sheetView zoomScaleNormal="100" workbookViewId="0">
      <selection activeCell="A4" sqref="A4"/>
    </sheetView>
  </sheetViews>
  <sheetFormatPr defaultRowHeight="14.4" x14ac:dyDescent="0.3"/>
  <cols>
    <col min="1" max="1" width="12.44140625" bestFit="1" customWidth="1"/>
    <col min="2" max="2" width="22.21875" bestFit="1" customWidth="1"/>
    <col min="3" max="3" width="27.77734375" bestFit="1" customWidth="1"/>
    <col min="4" max="4" width="23.44140625" bestFit="1" customWidth="1"/>
    <col min="5" max="5" width="25.77734375" bestFit="1" customWidth="1"/>
    <col min="6" max="6" width="13.33203125" bestFit="1" customWidth="1"/>
    <col min="7" max="7" width="13.6640625" bestFit="1" customWidth="1"/>
    <col min="8" max="8" width="16.21875" bestFit="1" customWidth="1"/>
    <col min="9" max="9" width="13.88671875" bestFit="1" customWidth="1"/>
    <col min="10" max="10" width="14.21875" bestFit="1" customWidth="1"/>
    <col min="11" max="11" width="29.88671875" bestFit="1" customWidth="1"/>
    <col min="12" max="17" width="13.6640625" customWidth="1"/>
    <col min="18" max="18" width="12.44140625" bestFit="1" customWidth="1"/>
    <col min="19" max="19" width="16.21875" bestFit="1" customWidth="1"/>
    <col min="20" max="20" width="13.88671875" bestFit="1" customWidth="1"/>
    <col min="21" max="21" width="14.21875" bestFit="1" customWidth="1"/>
    <col min="23" max="23" width="12.44140625" bestFit="1" customWidth="1"/>
    <col min="24" max="24" width="22.21875" bestFit="1" customWidth="1"/>
    <col min="25" max="25" width="27.77734375" bestFit="1" customWidth="1"/>
  </cols>
  <sheetData>
    <row r="3" spans="1:25" x14ac:dyDescent="0.3">
      <c r="A3" s="10" t="s">
        <v>8</v>
      </c>
      <c r="B3" t="s">
        <v>88</v>
      </c>
      <c r="C3" t="s">
        <v>89</v>
      </c>
      <c r="D3" t="s">
        <v>97</v>
      </c>
      <c r="E3" t="s">
        <v>98</v>
      </c>
      <c r="F3" t="s">
        <v>101</v>
      </c>
      <c r="G3" t="s">
        <v>102</v>
      </c>
      <c r="H3" t="s">
        <v>90</v>
      </c>
      <c r="I3" t="s">
        <v>91</v>
      </c>
      <c r="J3" t="s">
        <v>92</v>
      </c>
      <c r="K3" t="s">
        <v>104</v>
      </c>
      <c r="W3" s="10" t="s">
        <v>8</v>
      </c>
      <c r="X3" t="s">
        <v>88</v>
      </c>
      <c r="Y3" t="s">
        <v>89</v>
      </c>
    </row>
    <row r="4" spans="1:25" x14ac:dyDescent="0.3">
      <c r="A4" s="3">
        <v>2005</v>
      </c>
      <c r="B4" s="82">
        <v>11.62</v>
      </c>
      <c r="C4" s="82">
        <v>12.08</v>
      </c>
      <c r="D4" s="82">
        <v>87.79</v>
      </c>
      <c r="E4" s="82">
        <v>82.97</v>
      </c>
      <c r="F4" s="82">
        <v>44.81</v>
      </c>
      <c r="G4" s="82">
        <v>104.52</v>
      </c>
      <c r="H4" s="82">
        <v>4.0199999999999996</v>
      </c>
      <c r="I4" s="82">
        <v>21.03</v>
      </c>
      <c r="J4" s="82">
        <v>74.05</v>
      </c>
      <c r="K4" s="82">
        <v>65.3</v>
      </c>
      <c r="W4" s="3">
        <v>1999</v>
      </c>
      <c r="X4">
        <v>2.82</v>
      </c>
      <c r="Y4">
        <v>3.07</v>
      </c>
    </row>
    <row r="5" spans="1:25" x14ac:dyDescent="0.3">
      <c r="A5" s="3">
        <v>2006</v>
      </c>
      <c r="B5" s="82">
        <v>12.83</v>
      </c>
      <c r="C5" s="82">
        <v>13.09</v>
      </c>
      <c r="D5" s="82">
        <v>88.56</v>
      </c>
      <c r="E5" s="82">
        <v>83.74</v>
      </c>
      <c r="F5" s="82">
        <v>41.95</v>
      </c>
      <c r="G5" s="82">
        <v>105.7</v>
      </c>
      <c r="H5" s="82">
        <v>3.06</v>
      </c>
      <c r="I5" s="82">
        <v>20.09</v>
      </c>
      <c r="J5" s="82">
        <v>75.05</v>
      </c>
      <c r="K5" s="82">
        <v>67.2</v>
      </c>
      <c r="W5" s="3">
        <v>2000</v>
      </c>
      <c r="X5">
        <v>5.84</v>
      </c>
      <c r="Y5">
        <v>6.09</v>
      </c>
    </row>
    <row r="6" spans="1:25" x14ac:dyDescent="0.3">
      <c r="A6" s="3">
        <v>2007</v>
      </c>
      <c r="B6" s="82">
        <v>10.41</v>
      </c>
      <c r="C6" s="82">
        <v>11.03</v>
      </c>
      <c r="D6" s="82">
        <v>88.94</v>
      </c>
      <c r="E6" s="82">
        <v>84.17</v>
      </c>
      <c r="F6" s="82">
        <v>40.39</v>
      </c>
      <c r="G6" s="82">
        <v>100.88</v>
      </c>
      <c r="H6" s="82">
        <v>3.03</v>
      </c>
      <c r="I6" s="82">
        <v>20.059999999999999</v>
      </c>
      <c r="J6" s="82">
        <v>76.010000000000005</v>
      </c>
      <c r="K6" s="82">
        <v>66.3</v>
      </c>
      <c r="W6" s="3">
        <v>2001</v>
      </c>
      <c r="X6">
        <v>6.46</v>
      </c>
      <c r="Y6">
        <v>7.08</v>
      </c>
    </row>
    <row r="7" spans="1:25" x14ac:dyDescent="0.3">
      <c r="A7" s="3">
        <v>2008</v>
      </c>
      <c r="B7" s="82">
        <v>-3.39</v>
      </c>
      <c r="C7" s="82">
        <v>-2.04</v>
      </c>
      <c r="D7" s="82">
        <v>89.88</v>
      </c>
      <c r="E7" s="82">
        <v>84.36</v>
      </c>
      <c r="F7" s="82">
        <v>41.23</v>
      </c>
      <c r="G7" s="82">
        <v>95.77</v>
      </c>
      <c r="H7" s="82">
        <v>3.01</v>
      </c>
      <c r="I7" s="82">
        <v>20.079999999999998</v>
      </c>
      <c r="J7" s="82">
        <v>76.010000000000005</v>
      </c>
      <c r="K7" s="82">
        <v>64.099999999999994</v>
      </c>
      <c r="W7" s="3">
        <v>2002</v>
      </c>
      <c r="X7">
        <v>7.67</v>
      </c>
      <c r="Y7">
        <v>8.09</v>
      </c>
    </row>
    <row r="8" spans="1:25" x14ac:dyDescent="0.3">
      <c r="A8" s="3">
        <v>2009</v>
      </c>
      <c r="B8" s="82">
        <v>-16.04</v>
      </c>
      <c r="C8" s="82">
        <v>-14.06</v>
      </c>
      <c r="D8" s="82">
        <v>89.25</v>
      </c>
      <c r="E8" s="82">
        <v>83.54</v>
      </c>
      <c r="F8" s="82">
        <v>43.4</v>
      </c>
      <c r="G8" s="82">
        <v>88.83</v>
      </c>
      <c r="H8" s="82">
        <v>3.04</v>
      </c>
      <c r="I8" s="82">
        <v>20.02</v>
      </c>
      <c r="J8" s="82">
        <v>76.040000000000006</v>
      </c>
      <c r="K8" s="82">
        <v>61.3</v>
      </c>
      <c r="W8" s="3">
        <v>2003</v>
      </c>
      <c r="X8">
        <v>8.43</v>
      </c>
      <c r="Y8">
        <v>9.0500000000000007</v>
      </c>
    </row>
    <row r="9" spans="1:25" x14ac:dyDescent="0.3">
      <c r="A9" s="3">
        <v>2010</v>
      </c>
      <c r="B9" s="82">
        <v>-3.66</v>
      </c>
      <c r="C9" s="82">
        <v>-1.06</v>
      </c>
      <c r="D9" s="82">
        <v>88.88</v>
      </c>
      <c r="E9" s="82">
        <v>83.57</v>
      </c>
      <c r="F9" s="82">
        <v>54.37</v>
      </c>
      <c r="G9" s="82">
        <v>110.86</v>
      </c>
      <c r="H9" s="82">
        <v>4.01</v>
      </c>
      <c r="I9" s="82">
        <v>22.06</v>
      </c>
      <c r="J9" s="82">
        <v>73.03</v>
      </c>
      <c r="K9" s="82">
        <v>61.6</v>
      </c>
      <c r="W9" s="3">
        <v>2004</v>
      </c>
      <c r="X9">
        <v>8.73</v>
      </c>
      <c r="Y9">
        <v>9.09</v>
      </c>
    </row>
    <row r="10" spans="1:25" x14ac:dyDescent="0.3">
      <c r="A10" s="3">
        <v>2011</v>
      </c>
      <c r="B10" s="82">
        <v>3.04</v>
      </c>
      <c r="C10" s="82">
        <v>4.09</v>
      </c>
      <c r="D10" s="82">
        <v>89.02</v>
      </c>
      <c r="E10" s="82">
        <v>83.66</v>
      </c>
      <c r="F10" s="82">
        <v>61.8</v>
      </c>
      <c r="G10" s="82">
        <v>129.72999999999999</v>
      </c>
      <c r="H10" s="82">
        <v>4.03</v>
      </c>
      <c r="I10" s="82">
        <v>24</v>
      </c>
      <c r="J10" s="82">
        <v>71.069999999999993</v>
      </c>
      <c r="K10" s="82">
        <v>61.4</v>
      </c>
      <c r="W10" s="3">
        <v>2005</v>
      </c>
      <c r="X10">
        <v>11.62</v>
      </c>
      <c r="Y10">
        <v>12.08</v>
      </c>
    </row>
    <row r="11" spans="1:25" x14ac:dyDescent="0.3">
      <c r="A11" s="3">
        <v>2012</v>
      </c>
      <c r="B11" s="82">
        <v>7.31</v>
      </c>
      <c r="C11" s="82">
        <v>8.06</v>
      </c>
      <c r="D11" s="82">
        <v>89.27</v>
      </c>
      <c r="E11" s="82">
        <v>83.62</v>
      </c>
      <c r="F11" s="82">
        <v>63.83</v>
      </c>
      <c r="G11" s="82">
        <v>133.21</v>
      </c>
      <c r="H11" s="82">
        <v>4.05</v>
      </c>
      <c r="I11" s="82">
        <v>24.03</v>
      </c>
      <c r="J11" s="82">
        <v>71.02</v>
      </c>
      <c r="K11" s="82">
        <v>62.4</v>
      </c>
      <c r="W11" s="3">
        <v>2006</v>
      </c>
      <c r="X11">
        <v>12.83</v>
      </c>
      <c r="Y11">
        <v>13.09</v>
      </c>
    </row>
    <row r="12" spans="1:25" x14ac:dyDescent="0.3">
      <c r="A12" s="3">
        <v>2013</v>
      </c>
      <c r="B12" s="82">
        <v>2.0099999999999998</v>
      </c>
      <c r="C12" s="82">
        <v>3.02</v>
      </c>
      <c r="D12" s="82">
        <v>89.24</v>
      </c>
      <c r="E12" s="82">
        <v>83.52</v>
      </c>
      <c r="F12" s="82">
        <v>62.58</v>
      </c>
      <c r="G12" s="82">
        <v>129.68</v>
      </c>
      <c r="H12" s="82">
        <v>4.01</v>
      </c>
      <c r="I12" s="82">
        <v>23.08</v>
      </c>
      <c r="J12" s="82">
        <v>72.010000000000005</v>
      </c>
      <c r="K12" s="82">
        <v>62.1</v>
      </c>
      <c r="W12" s="3">
        <v>2007</v>
      </c>
      <c r="X12">
        <v>10.41</v>
      </c>
      <c r="Y12">
        <v>11.03</v>
      </c>
    </row>
    <row r="13" spans="1:25" x14ac:dyDescent="0.3">
      <c r="A13" s="3">
        <v>2014</v>
      </c>
      <c r="B13" s="82">
        <v>2.09</v>
      </c>
      <c r="C13" s="82">
        <v>3.01</v>
      </c>
      <c r="D13" s="82">
        <v>89.28</v>
      </c>
      <c r="E13" s="82">
        <v>83.41</v>
      </c>
      <c r="F13" s="82">
        <v>63.57</v>
      </c>
      <c r="G13" s="82">
        <v>130.04</v>
      </c>
      <c r="H13" s="82">
        <v>3.07</v>
      </c>
      <c r="I13" s="82">
        <v>23.04</v>
      </c>
      <c r="J13" s="82">
        <v>72.09</v>
      </c>
      <c r="K13" s="82">
        <v>61.3</v>
      </c>
      <c r="W13" s="3">
        <v>2008</v>
      </c>
      <c r="X13">
        <v>-3.39</v>
      </c>
      <c r="Y13">
        <v>-2.04</v>
      </c>
    </row>
    <row r="14" spans="1:25" x14ac:dyDescent="0.3">
      <c r="A14" s="3" t="s">
        <v>9</v>
      </c>
      <c r="B14" s="82">
        <v>26.219999999999995</v>
      </c>
      <c r="C14" s="82">
        <v>37.220000000000006</v>
      </c>
      <c r="D14" s="82">
        <v>890.1099999999999</v>
      </c>
      <c r="E14" s="82">
        <v>836.56</v>
      </c>
      <c r="F14" s="82">
        <v>517.92999999999995</v>
      </c>
      <c r="G14" s="82">
        <v>1129.22</v>
      </c>
      <c r="H14" s="82">
        <v>35.330000000000005</v>
      </c>
      <c r="I14" s="82">
        <v>217.48999999999998</v>
      </c>
      <c r="J14" s="82">
        <v>736.38</v>
      </c>
      <c r="K14" s="82">
        <v>632.99999999999989</v>
      </c>
      <c r="W14" s="3">
        <v>2009</v>
      </c>
      <c r="X14">
        <v>-16.04</v>
      </c>
      <c r="Y14">
        <v>-14.06</v>
      </c>
    </row>
    <row r="15" spans="1:25" x14ac:dyDescent="0.3">
      <c r="W15" s="3">
        <v>2010</v>
      </c>
      <c r="X15">
        <v>-3.66</v>
      </c>
      <c r="Y15">
        <v>-1.06</v>
      </c>
    </row>
    <row r="16" spans="1:25" x14ac:dyDescent="0.3">
      <c r="W16" s="3">
        <v>2011</v>
      </c>
      <c r="X16">
        <v>3.04</v>
      </c>
      <c r="Y16">
        <v>4.09</v>
      </c>
    </row>
    <row r="17" spans="23:25" x14ac:dyDescent="0.3">
      <c r="W17" s="3">
        <v>2012</v>
      </c>
      <c r="X17">
        <v>7.31</v>
      </c>
      <c r="Y17">
        <v>8.06</v>
      </c>
    </row>
    <row r="18" spans="23:25" x14ac:dyDescent="0.3">
      <c r="W18" s="3">
        <v>2013</v>
      </c>
      <c r="X18">
        <v>2.0099999999999998</v>
      </c>
      <c r="Y18">
        <v>3.02</v>
      </c>
    </row>
    <row r="19" spans="23:25" x14ac:dyDescent="0.3">
      <c r="W19" s="3">
        <v>2014</v>
      </c>
      <c r="X19">
        <v>2.09</v>
      </c>
      <c r="Y19">
        <v>3.01</v>
      </c>
    </row>
    <row r="20" spans="23:25" x14ac:dyDescent="0.3">
      <c r="W20" s="3">
        <v>2015</v>
      </c>
      <c r="X20">
        <v>3.78</v>
      </c>
      <c r="Y20">
        <v>4.0599999999999996</v>
      </c>
    </row>
    <row r="21" spans="23:25" x14ac:dyDescent="0.3">
      <c r="W21" s="3">
        <v>2016</v>
      </c>
      <c r="X21">
        <v>2.5499999999999998</v>
      </c>
      <c r="Y21">
        <v>3.05</v>
      </c>
    </row>
    <row r="22" spans="23:25" x14ac:dyDescent="0.3">
      <c r="W22" s="3">
        <v>2017</v>
      </c>
      <c r="X22">
        <v>3.04</v>
      </c>
      <c r="Y22">
        <v>4.03</v>
      </c>
    </row>
    <row r="23" spans="23:25" x14ac:dyDescent="0.3">
      <c r="W23" s="3">
        <v>2018</v>
      </c>
      <c r="X23">
        <v>4.3099999999999996</v>
      </c>
      <c r="Y23">
        <v>5.01</v>
      </c>
    </row>
    <row r="24" spans="23:25" x14ac:dyDescent="0.3">
      <c r="W24" s="3">
        <v>2019</v>
      </c>
      <c r="X24">
        <v>0.68</v>
      </c>
      <c r="Y24">
        <v>1.04</v>
      </c>
    </row>
    <row r="25" spans="23:25" x14ac:dyDescent="0.3">
      <c r="W25" s="3">
        <v>2020</v>
      </c>
      <c r="X25">
        <v>-3.47</v>
      </c>
      <c r="Y25">
        <v>-2.08</v>
      </c>
    </row>
    <row r="26" spans="23:25" x14ac:dyDescent="0.3">
      <c r="W26" s="3">
        <v>2021</v>
      </c>
      <c r="X26">
        <v>6.94</v>
      </c>
      <c r="Y26">
        <v>7.08</v>
      </c>
    </row>
    <row r="27" spans="23:25" x14ac:dyDescent="0.3">
      <c r="W27" s="3">
        <v>2022</v>
      </c>
      <c r="X27">
        <v>1.81</v>
      </c>
      <c r="Y27">
        <v>2.0099999999999998</v>
      </c>
    </row>
    <row r="28" spans="23:25" x14ac:dyDescent="0.3">
      <c r="W28" s="3">
        <v>2023</v>
      </c>
      <c r="X28">
        <v>2.85</v>
      </c>
      <c r="Y28">
        <v>3</v>
      </c>
    </row>
    <row r="29" spans="23:25" x14ac:dyDescent="0.3">
      <c r="W29" s="3">
        <v>2024</v>
      </c>
      <c r="X29">
        <v>-0.44</v>
      </c>
      <c r="Y29">
        <v>0.04</v>
      </c>
    </row>
    <row r="30" spans="23:25" x14ac:dyDescent="0.3">
      <c r="W30" s="3" t="s">
        <v>9</v>
      </c>
      <c r="X30">
        <v>88.220000000000013</v>
      </c>
      <c r="Y30">
        <v>106.93000000000002</v>
      </c>
    </row>
    <row r="36" spans="1:3" x14ac:dyDescent="0.3">
      <c r="A36" s="10" t="s">
        <v>8</v>
      </c>
      <c r="B36" t="s">
        <v>97</v>
      </c>
      <c r="C36" t="s">
        <v>98</v>
      </c>
    </row>
    <row r="37" spans="1:3" x14ac:dyDescent="0.3">
      <c r="A37" s="3">
        <v>1999</v>
      </c>
      <c r="B37">
        <v>83.11</v>
      </c>
      <c r="C37">
        <v>79.7</v>
      </c>
    </row>
    <row r="38" spans="1:3" x14ac:dyDescent="0.3">
      <c r="A38" s="3">
        <v>2000</v>
      </c>
      <c r="B38">
        <v>84.61</v>
      </c>
      <c r="C38">
        <v>81.48</v>
      </c>
    </row>
    <row r="39" spans="1:3" x14ac:dyDescent="0.3">
      <c r="A39" s="3">
        <v>2001</v>
      </c>
      <c r="B39">
        <v>84.25</v>
      </c>
      <c r="C39">
        <v>80.16</v>
      </c>
    </row>
    <row r="40" spans="1:3" x14ac:dyDescent="0.3">
      <c r="A40" s="3">
        <v>2002</v>
      </c>
      <c r="B40">
        <v>85.46</v>
      </c>
      <c r="C40">
        <v>80.83</v>
      </c>
    </row>
    <row r="41" spans="1:3" x14ac:dyDescent="0.3">
      <c r="A41" s="3">
        <v>2003</v>
      </c>
      <c r="B41">
        <v>85.6</v>
      </c>
      <c r="C41">
        <v>81.33</v>
      </c>
    </row>
    <row r="42" spans="1:3" x14ac:dyDescent="0.3">
      <c r="A42" s="3">
        <v>2004</v>
      </c>
      <c r="B42">
        <v>85.13</v>
      </c>
      <c r="C42">
        <v>82.02</v>
      </c>
    </row>
    <row r="43" spans="1:3" x14ac:dyDescent="0.3">
      <c r="A43" s="3">
        <v>2005</v>
      </c>
      <c r="B43">
        <v>87.79</v>
      </c>
      <c r="C43">
        <v>82.97</v>
      </c>
    </row>
    <row r="44" spans="1:3" x14ac:dyDescent="0.3">
      <c r="A44" s="3">
        <v>2006</v>
      </c>
      <c r="B44">
        <v>88.56</v>
      </c>
      <c r="C44">
        <v>83.74</v>
      </c>
    </row>
    <row r="45" spans="1:3" x14ac:dyDescent="0.3">
      <c r="A45" s="3">
        <v>2007</v>
      </c>
      <c r="B45">
        <v>88.94</v>
      </c>
      <c r="C45">
        <v>84.17</v>
      </c>
    </row>
    <row r="46" spans="1:3" x14ac:dyDescent="0.3">
      <c r="A46" s="3">
        <v>2008</v>
      </c>
      <c r="B46">
        <v>89.88</v>
      </c>
      <c r="C46">
        <v>84.36</v>
      </c>
    </row>
    <row r="47" spans="1:3" x14ac:dyDescent="0.3">
      <c r="A47" s="3">
        <v>2009</v>
      </c>
      <c r="B47">
        <v>89.25</v>
      </c>
      <c r="C47">
        <v>83.54</v>
      </c>
    </row>
    <row r="48" spans="1:3" x14ac:dyDescent="0.3">
      <c r="A48" s="3">
        <v>2010</v>
      </c>
      <c r="B48">
        <v>88.88</v>
      </c>
      <c r="C48">
        <v>83.57</v>
      </c>
    </row>
    <row r="49" spans="1:3" x14ac:dyDescent="0.3">
      <c r="A49" s="3">
        <v>2011</v>
      </c>
      <c r="B49">
        <v>89.02</v>
      </c>
      <c r="C49">
        <v>83.66</v>
      </c>
    </row>
    <row r="50" spans="1:3" x14ac:dyDescent="0.3">
      <c r="A50" s="3">
        <v>2012</v>
      </c>
      <c r="B50">
        <v>89.27</v>
      </c>
      <c r="C50">
        <v>83.62</v>
      </c>
    </row>
    <row r="51" spans="1:3" x14ac:dyDescent="0.3">
      <c r="A51" s="3">
        <v>2013</v>
      </c>
      <c r="B51">
        <v>89.24</v>
      </c>
      <c r="C51">
        <v>83.52</v>
      </c>
    </row>
    <row r="52" spans="1:3" x14ac:dyDescent="0.3">
      <c r="A52" s="3">
        <v>2014</v>
      </c>
      <c r="B52">
        <v>89.28</v>
      </c>
      <c r="C52">
        <v>83.41</v>
      </c>
    </row>
    <row r="53" spans="1:3" x14ac:dyDescent="0.3">
      <c r="A53" s="3">
        <v>2015</v>
      </c>
      <c r="B53">
        <v>89.15</v>
      </c>
      <c r="C53">
        <v>83.18</v>
      </c>
    </row>
    <row r="54" spans="1:3" x14ac:dyDescent="0.3">
      <c r="A54" s="3">
        <v>2016</v>
      </c>
      <c r="B54">
        <v>89</v>
      </c>
      <c r="C54">
        <v>83.07</v>
      </c>
    </row>
    <row r="55" spans="1:3" x14ac:dyDescent="0.3">
      <c r="A55" s="3">
        <v>2017</v>
      </c>
      <c r="B55">
        <v>89.47</v>
      </c>
      <c r="C55">
        <v>84.05</v>
      </c>
    </row>
    <row r="56" spans="1:3" x14ac:dyDescent="0.3">
      <c r="A56" s="3">
        <v>2018</v>
      </c>
      <c r="B56">
        <v>89.58</v>
      </c>
      <c r="C56">
        <v>83.97</v>
      </c>
    </row>
    <row r="57" spans="1:3" x14ac:dyDescent="0.3">
      <c r="A57" s="3">
        <v>2019</v>
      </c>
      <c r="B57">
        <v>89.61</v>
      </c>
      <c r="C57">
        <v>84.35</v>
      </c>
    </row>
    <row r="58" spans="1:3" x14ac:dyDescent="0.3">
      <c r="A58" s="3">
        <v>2020</v>
      </c>
      <c r="B58">
        <v>89.08</v>
      </c>
      <c r="C58">
        <v>83.9</v>
      </c>
    </row>
    <row r="59" spans="1:3" x14ac:dyDescent="0.3">
      <c r="A59" s="3">
        <v>2021</v>
      </c>
      <c r="B59">
        <v>89.28</v>
      </c>
      <c r="C59">
        <v>84.5</v>
      </c>
    </row>
    <row r="60" spans="1:3" x14ac:dyDescent="0.3">
      <c r="A60" s="3">
        <v>2022</v>
      </c>
      <c r="B60">
        <v>89.18</v>
      </c>
      <c r="C60">
        <v>84.82</v>
      </c>
    </row>
    <row r="61" spans="1:3" x14ac:dyDescent="0.3">
      <c r="A61" s="3">
        <v>2023</v>
      </c>
      <c r="B61">
        <v>89.16</v>
      </c>
      <c r="C61">
        <v>84.44</v>
      </c>
    </row>
    <row r="62" spans="1:3" x14ac:dyDescent="0.3">
      <c r="A62" s="3">
        <v>2024</v>
      </c>
      <c r="B62">
        <v>88.47</v>
      </c>
      <c r="C62">
        <v>84</v>
      </c>
    </row>
    <row r="63" spans="1:3" x14ac:dyDescent="0.3">
      <c r="A63" s="3" t="s">
        <v>9</v>
      </c>
      <c r="B63">
        <v>2290.2499999999995</v>
      </c>
      <c r="C63">
        <v>2162.36</v>
      </c>
    </row>
    <row r="66" spans="1:3" x14ac:dyDescent="0.3">
      <c r="A66" s="10" t="s">
        <v>8</v>
      </c>
      <c r="B66" t="s">
        <v>101</v>
      </c>
      <c r="C66" t="s">
        <v>102</v>
      </c>
    </row>
    <row r="67" spans="1:3" x14ac:dyDescent="0.3">
      <c r="A67" s="3">
        <v>1999</v>
      </c>
      <c r="B67">
        <v>36.03</v>
      </c>
      <c r="C67">
        <v>82.15</v>
      </c>
    </row>
    <row r="68" spans="1:3" x14ac:dyDescent="0.3">
      <c r="A68" s="3">
        <v>2000</v>
      </c>
      <c r="B68">
        <v>37.72</v>
      </c>
      <c r="C68">
        <v>83.61</v>
      </c>
    </row>
    <row r="69" spans="1:3" x14ac:dyDescent="0.3">
      <c r="A69" s="3">
        <v>2001</v>
      </c>
      <c r="B69">
        <v>38.799999999999997</v>
      </c>
      <c r="C69">
        <v>88.18</v>
      </c>
    </row>
    <row r="70" spans="1:3" x14ac:dyDescent="0.3">
      <c r="A70" s="3">
        <v>2002</v>
      </c>
      <c r="B70">
        <v>37.76</v>
      </c>
      <c r="C70">
        <v>85.98</v>
      </c>
    </row>
    <row r="71" spans="1:3" x14ac:dyDescent="0.3">
      <c r="A71" s="3">
        <v>2003</v>
      </c>
      <c r="B71">
        <v>37.74</v>
      </c>
      <c r="C71">
        <v>88.58</v>
      </c>
    </row>
    <row r="72" spans="1:3" x14ac:dyDescent="0.3">
      <c r="A72" s="3">
        <v>2004</v>
      </c>
      <c r="B72">
        <v>40.630000000000003</v>
      </c>
      <c r="C72">
        <v>97.24</v>
      </c>
    </row>
    <row r="73" spans="1:3" x14ac:dyDescent="0.3">
      <c r="A73" s="3">
        <v>2005</v>
      </c>
      <c r="B73">
        <v>44.81</v>
      </c>
      <c r="C73">
        <v>104.52</v>
      </c>
    </row>
    <row r="74" spans="1:3" x14ac:dyDescent="0.3">
      <c r="A74" s="3">
        <v>2006</v>
      </c>
      <c r="B74">
        <v>41.95</v>
      </c>
      <c r="C74">
        <v>105.7</v>
      </c>
    </row>
    <row r="75" spans="1:3" x14ac:dyDescent="0.3">
      <c r="A75" s="3">
        <v>2007</v>
      </c>
      <c r="B75">
        <v>40.39</v>
      </c>
      <c r="C75">
        <v>100.88</v>
      </c>
    </row>
    <row r="76" spans="1:3" x14ac:dyDescent="0.3">
      <c r="A76" s="3">
        <v>2008</v>
      </c>
      <c r="B76">
        <v>41.23</v>
      </c>
      <c r="C76">
        <v>95.77</v>
      </c>
    </row>
    <row r="77" spans="1:3" x14ac:dyDescent="0.3">
      <c r="A77" s="3">
        <v>2009</v>
      </c>
      <c r="B77">
        <v>43.4</v>
      </c>
      <c r="C77">
        <v>88.83</v>
      </c>
    </row>
    <row r="78" spans="1:3" x14ac:dyDescent="0.3">
      <c r="A78" s="3">
        <v>2010</v>
      </c>
      <c r="B78">
        <v>54.37</v>
      </c>
      <c r="C78">
        <v>110.86</v>
      </c>
    </row>
    <row r="79" spans="1:3" x14ac:dyDescent="0.3">
      <c r="A79" s="3">
        <v>2011</v>
      </c>
      <c r="B79">
        <v>61.8</v>
      </c>
      <c r="C79">
        <v>129.72999999999999</v>
      </c>
    </row>
    <row r="80" spans="1:3" x14ac:dyDescent="0.3">
      <c r="A80" s="3">
        <v>2012</v>
      </c>
      <c r="B80">
        <v>63.83</v>
      </c>
      <c r="C80">
        <v>133.21</v>
      </c>
    </row>
    <row r="81" spans="1:3" x14ac:dyDescent="0.3">
      <c r="A81" s="3">
        <v>2013</v>
      </c>
      <c r="B81">
        <v>62.58</v>
      </c>
      <c r="C81">
        <v>129.68</v>
      </c>
    </row>
    <row r="82" spans="1:3" x14ac:dyDescent="0.3">
      <c r="A82" s="3">
        <v>2014</v>
      </c>
      <c r="B82">
        <v>63.57</v>
      </c>
      <c r="C82">
        <v>130.04</v>
      </c>
    </row>
    <row r="83" spans="1:3" x14ac:dyDescent="0.3">
      <c r="A83" s="3">
        <v>2015</v>
      </c>
      <c r="B83">
        <v>62.6</v>
      </c>
      <c r="C83">
        <v>126.38</v>
      </c>
    </row>
    <row r="84" spans="1:3" x14ac:dyDescent="0.3">
      <c r="A84" s="3">
        <v>2016</v>
      </c>
      <c r="B84">
        <v>61.93</v>
      </c>
      <c r="C84">
        <v>123.33</v>
      </c>
    </row>
    <row r="85" spans="1:3" x14ac:dyDescent="0.3">
      <c r="A85" s="3">
        <v>2017</v>
      </c>
      <c r="B85">
        <v>64.14</v>
      </c>
      <c r="C85">
        <v>128.71</v>
      </c>
    </row>
    <row r="86" spans="1:3" x14ac:dyDescent="0.3">
      <c r="A86" s="3">
        <v>2018</v>
      </c>
      <c r="B86">
        <v>63.87</v>
      </c>
      <c r="C86">
        <v>128.22999999999999</v>
      </c>
    </row>
    <row r="87" spans="1:3" x14ac:dyDescent="0.3">
      <c r="A87" s="3">
        <v>2019</v>
      </c>
      <c r="B87">
        <v>62.54</v>
      </c>
      <c r="C87">
        <v>125.29</v>
      </c>
    </row>
    <row r="88" spans="1:3" x14ac:dyDescent="0.3">
      <c r="A88" s="3">
        <v>2020</v>
      </c>
      <c r="B88">
        <v>62.66</v>
      </c>
      <c r="C88">
        <v>123.88</v>
      </c>
    </row>
    <row r="89" spans="1:3" x14ac:dyDescent="0.3">
      <c r="A89" s="3">
        <v>2021</v>
      </c>
      <c r="B89">
        <v>66.81</v>
      </c>
      <c r="C89">
        <v>136.80000000000001</v>
      </c>
    </row>
    <row r="90" spans="1:3" x14ac:dyDescent="0.3">
      <c r="A90" s="3">
        <v>2022</v>
      </c>
      <c r="B90">
        <v>77.48</v>
      </c>
      <c r="C90">
        <v>159.84</v>
      </c>
    </row>
    <row r="91" spans="1:3" x14ac:dyDescent="0.3">
      <c r="A91" s="3">
        <v>2023</v>
      </c>
      <c r="B91">
        <v>66.459999999999994</v>
      </c>
      <c r="C91">
        <v>136.63</v>
      </c>
    </row>
    <row r="92" spans="1:3" x14ac:dyDescent="0.3">
      <c r="A92" s="3">
        <v>2024</v>
      </c>
      <c r="B92">
        <v>64.62</v>
      </c>
      <c r="C92">
        <v>67.180000000000007</v>
      </c>
    </row>
    <row r="93" spans="1:3" x14ac:dyDescent="0.3">
      <c r="A93" s="3" t="s">
        <v>9</v>
      </c>
      <c r="B93">
        <v>1399.7200000000003</v>
      </c>
      <c r="C93">
        <v>2911.2300000000005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00F9D-9580-4C38-B862-74E59D38367C}">
  <dimension ref="A1:BY28"/>
  <sheetViews>
    <sheetView topLeftCell="BN1" workbookViewId="0">
      <selection activeCell="BY19" sqref="BY19"/>
    </sheetView>
  </sheetViews>
  <sheetFormatPr defaultRowHeight="14.4" x14ac:dyDescent="0.3"/>
  <cols>
    <col min="2" max="2" width="8.88671875" style="2"/>
    <col min="3" max="3" width="8.88671875" style="2" customWidth="1"/>
    <col min="4" max="4" width="19.33203125" customWidth="1"/>
    <col min="5" max="5" width="23.6640625" customWidth="1"/>
    <col min="6" max="6" width="8.88671875" style="2"/>
    <col min="12" max="12" width="24.88671875" customWidth="1"/>
    <col min="13" max="13" width="25.5546875" customWidth="1"/>
    <col min="14" max="14" width="8.88671875" style="2"/>
    <col min="15" max="15" width="12.109375" style="2" customWidth="1"/>
    <col min="17" max="18" width="8.88671875" style="2"/>
    <col min="20" max="20" width="14.109375" customWidth="1"/>
    <col min="21" max="21" width="13.77734375" customWidth="1"/>
    <col min="22" max="22" width="8.88671875" style="2"/>
    <col min="23" max="23" width="10.77734375" customWidth="1"/>
    <col min="25" max="26" width="8.88671875" style="2"/>
    <col min="28" max="28" width="17.5546875" customWidth="1"/>
    <col min="29" max="29" width="15.21875" customWidth="1"/>
    <col min="30" max="30" width="14.21875" customWidth="1"/>
    <col min="33" max="33" width="12" customWidth="1"/>
    <col min="34" max="34" width="13.109375" customWidth="1"/>
    <col min="36" max="36" width="11.77734375" customWidth="1"/>
    <col min="37" max="37" width="18.88671875" customWidth="1"/>
    <col min="38" max="38" width="19.5546875" customWidth="1"/>
    <col min="39" max="39" width="20.21875" customWidth="1"/>
    <col min="40" max="40" width="13.77734375" customWidth="1"/>
    <col min="45" max="45" width="17.6640625" customWidth="1"/>
    <col min="46" max="46" width="14" customWidth="1"/>
    <col min="47" max="47" width="14.21875" customWidth="1"/>
    <col min="48" max="48" width="18.21875" customWidth="1"/>
    <col min="49" max="49" width="14.44140625" customWidth="1"/>
    <col min="55" max="59" width="24.21875" customWidth="1"/>
    <col min="60" max="60" width="15.109375" customWidth="1"/>
    <col min="61" max="61" width="8.88671875" customWidth="1"/>
    <col min="63" max="64" width="13.21875" customWidth="1"/>
    <col min="65" max="65" width="24.6640625" customWidth="1"/>
    <col min="66" max="66" width="13.21875" customWidth="1"/>
    <col min="67" max="67" width="15.5546875" customWidth="1"/>
    <col min="72" max="72" width="16.88671875" customWidth="1"/>
    <col min="73" max="74" width="16.109375" customWidth="1"/>
    <col min="75" max="75" width="17.6640625" customWidth="1"/>
  </cols>
  <sheetData>
    <row r="1" spans="1:77" x14ac:dyDescent="0.3">
      <c r="A1" s="73" t="s">
        <v>59</v>
      </c>
      <c r="B1" s="2" t="s">
        <v>10</v>
      </c>
      <c r="C1" s="2" t="s">
        <v>6</v>
      </c>
      <c r="D1" s="70" t="s">
        <v>60</v>
      </c>
      <c r="E1" s="70" t="s">
        <v>61</v>
      </c>
      <c r="F1" s="2" t="s">
        <v>96</v>
      </c>
      <c r="G1" s="2" t="s">
        <v>93</v>
      </c>
      <c r="H1" s="2" t="s">
        <v>94</v>
      </c>
      <c r="I1" s="2" t="s">
        <v>7</v>
      </c>
      <c r="J1" s="2" t="s">
        <v>95</v>
      </c>
      <c r="L1" s="69" t="s">
        <v>97</v>
      </c>
      <c r="M1" s="69" t="s">
        <v>98</v>
      </c>
      <c r="N1" s="2" t="s">
        <v>99</v>
      </c>
      <c r="O1" s="2" t="s">
        <v>100</v>
      </c>
      <c r="Q1" s="7" t="s">
        <v>10</v>
      </c>
      <c r="R1" s="7" t="s">
        <v>11</v>
      </c>
      <c r="T1" s="69" t="s">
        <v>101</v>
      </c>
      <c r="U1" s="69" t="s">
        <v>102</v>
      </c>
      <c r="V1" s="2" t="s">
        <v>99</v>
      </c>
      <c r="W1" s="2" t="s">
        <v>103</v>
      </c>
      <c r="Y1" s="2" t="s">
        <v>10</v>
      </c>
      <c r="Z1" s="2" t="s">
        <v>11</v>
      </c>
      <c r="AB1" s="69" t="s">
        <v>90</v>
      </c>
      <c r="AC1" s="69" t="s">
        <v>91</v>
      </c>
      <c r="AD1" s="69" t="s">
        <v>92</v>
      </c>
      <c r="AG1" s="78" t="s">
        <v>105</v>
      </c>
      <c r="AH1" s="78" t="s">
        <v>106</v>
      </c>
      <c r="AJ1" t="s">
        <v>59</v>
      </c>
      <c r="AK1" t="s">
        <v>110</v>
      </c>
      <c r="AL1" t="s">
        <v>111</v>
      </c>
      <c r="AN1" s="72" cm="1">
        <f t="array" ref="AN1:AN26">MacroData[Year]</f>
        <v>1999</v>
      </c>
      <c r="AO1" cm="1">
        <f t="array" ref="AO1:AO26">MacroData[Money_Supply]</f>
        <v>15</v>
      </c>
      <c r="AR1" t="s">
        <v>59</v>
      </c>
      <c r="AS1" t="s">
        <v>115</v>
      </c>
      <c r="AT1" t="s">
        <v>116</v>
      </c>
      <c r="AU1" t="s">
        <v>117</v>
      </c>
      <c r="AV1" t="s">
        <v>118</v>
      </c>
      <c r="AW1" t="s">
        <v>74</v>
      </c>
      <c r="AY1" t="s">
        <v>74</v>
      </c>
      <c r="AZ1">
        <f>INDEX(MacroData[PPI],
MATCH(Control!A4, MacroData[Year],0))</f>
        <v>8.5</v>
      </c>
      <c r="BB1" t="s">
        <v>59</v>
      </c>
      <c r="BC1" s="83" t="s">
        <v>75</v>
      </c>
      <c r="BD1" s="83" t="s">
        <v>76</v>
      </c>
      <c r="BE1" s="83" t="s">
        <v>77</v>
      </c>
      <c r="BF1" s="83" t="s">
        <v>78</v>
      </c>
      <c r="BG1" s="83" t="s">
        <v>79</v>
      </c>
      <c r="BH1" s="84" t="s">
        <v>123</v>
      </c>
      <c r="BJ1" t="s">
        <v>59</v>
      </c>
      <c r="BK1" s="85" t="s">
        <v>80</v>
      </c>
      <c r="BL1" s="85" t="s">
        <v>81</v>
      </c>
      <c r="BM1" s="85" t="s">
        <v>82</v>
      </c>
      <c r="BN1" s="85" t="s">
        <v>83</v>
      </c>
      <c r="BO1" s="86" t="s">
        <v>124</v>
      </c>
      <c r="BS1" t="s">
        <v>59</v>
      </c>
      <c r="BT1" s="87" t="s">
        <v>84</v>
      </c>
      <c r="BU1" s="87" t="s">
        <v>85</v>
      </c>
      <c r="BV1" s="87" t="s">
        <v>86</v>
      </c>
      <c r="BW1" s="87" t="s">
        <v>87</v>
      </c>
    </row>
    <row r="2" spans="1:77" x14ac:dyDescent="0.3">
      <c r="A2" s="74">
        <v>1999</v>
      </c>
      <c r="B2" s="2" t="str">
        <f>RIGHT(A2, 2)</f>
        <v>99</v>
      </c>
      <c r="C2" s="2">
        <f>$C$28</f>
        <v>0.52359999999999995</v>
      </c>
      <c r="D2">
        <f>GETPIVOTDATA(""&amp;D$1,Control!$W$3,"Year",""&amp;$A2)</f>
        <v>2.82</v>
      </c>
      <c r="E2">
        <f>GETPIVOTDATA(""&amp;E$1,Control!$W$3,"Year",""&amp;$A2)</f>
        <v>3.07</v>
      </c>
      <c r="F2" s="2">
        <f>C2</f>
        <v>0.52359999999999995</v>
      </c>
      <c r="G2" t="e">
        <f>IFERROR(GETPIVOTDATA(""&amp;D$1,Control!$B$3,"Year",""&amp;$A2),NA())</f>
        <v>#N/A</v>
      </c>
      <c r="H2" t="e">
        <f>IFERROR(GETPIVOTDATA(""&amp;E$1,Control!$B$3,"Year",""&amp;$A2),NA())</f>
        <v>#N/A</v>
      </c>
      <c r="I2" t="e">
        <f>C2+G2</f>
        <v>#N/A</v>
      </c>
      <c r="J2" t="e">
        <f>IF(G2&gt;1,TEXT(ROUND(G2/1,0),"0"),G2)</f>
        <v>#N/A</v>
      </c>
      <c r="L2">
        <f>GETPIVOTDATA(""&amp;L$1,Control!$B$36,"Year",""&amp;$A2)</f>
        <v>83.11</v>
      </c>
      <c r="M2">
        <f>GETPIVOTDATA(""&amp;M$1,Control!$B$36,"Year",""&amp;$A2)</f>
        <v>79.7</v>
      </c>
      <c r="N2" s="6">
        <f>L2/SUM(L2:M2)</f>
        <v>0.51047232970947731</v>
      </c>
      <c r="O2" s="6">
        <f>N28</f>
        <v>0.51550672682099064</v>
      </c>
      <c r="P2" s="8">
        <f>1-O2</f>
        <v>0.48449327317900936</v>
      </c>
      <c r="Q2" s="7">
        <v>0</v>
      </c>
      <c r="R2" s="7">
        <v>1</v>
      </c>
      <c r="T2">
        <f>GETPIVOTDATA(""&amp;T$1,Control!$B$66,"Year",""&amp;$A2)</f>
        <v>36.03</v>
      </c>
      <c r="U2">
        <f>GETPIVOTDATA(""&amp;U$1,Control!$C$66,"Year",""&amp;$A2)</f>
        <v>82.15</v>
      </c>
      <c r="V2" s="6">
        <f>T2/SUM(T2:U2)</f>
        <v>0.30487392113724826</v>
      </c>
      <c r="W2" s="77">
        <f>V28</f>
        <v>0.31444009349482432</v>
      </c>
      <c r="X2" s="8">
        <f>1-W2</f>
        <v>0.68555990650517562</v>
      </c>
      <c r="Y2" s="2">
        <v>0</v>
      </c>
      <c r="Z2" s="2">
        <v>1</v>
      </c>
      <c r="AB2" cm="1">
        <f t="array" ref="AB2:AB27">MacroData[Agriculture]</f>
        <v>4.5</v>
      </c>
      <c r="AC2" cm="1">
        <f t="array" ref="AC2:AC27">MacroData[Industry]</f>
        <v>23.08</v>
      </c>
      <c r="AD2" cm="1">
        <f t="array" ref="AD2:AD27">MacroData[Services]</f>
        <v>71.069999999999993</v>
      </c>
      <c r="AG2" t="s">
        <v>62</v>
      </c>
      <c r="AH2">
        <f>INDEX(MacroData[Agriculture],MATCH(Control!A4, MacroData[Year],0))</f>
        <v>4.0199999999999996</v>
      </c>
      <c r="AJ2" s="72">
        <f>MacroData[[#This Row],[Year]]</f>
        <v>1999</v>
      </c>
      <c r="AK2">
        <f>MacroData[[#This Row],[Policy_Interest_Rate]]</f>
        <v>14.2</v>
      </c>
      <c r="AL2">
        <f>MacroData[[#This Row],[Market_Interest_Rate]]</f>
        <v>14.2</v>
      </c>
      <c r="AN2">
        <v>2000</v>
      </c>
      <c r="AO2">
        <v>28</v>
      </c>
      <c r="AR2" s="72">
        <f>MacroData[[#This Row],[Year]]</f>
        <v>1999</v>
      </c>
      <c r="AS2">
        <f>MacroData[[#This Row],[Headline_Inflation]]</f>
        <v>2.36</v>
      </c>
      <c r="AT2">
        <f>MacroData[[#This Row],[Core_Inflation]]</f>
        <v>2.9</v>
      </c>
      <c r="AU2">
        <f>MacroData[[#This Row],[Food_Inflation]]</f>
        <v>-2</v>
      </c>
      <c r="AV2">
        <f>MacroData[[#This Row],[Non_Food_Inflation]]</f>
        <v>4.0999999999999996</v>
      </c>
      <c r="AW2">
        <f>MacroData[[#This Row],[PPI]]</f>
        <v>-2</v>
      </c>
      <c r="AY2" t="s">
        <v>119</v>
      </c>
      <c r="AZ2">
        <f>INDEX(MacroData[Headline_Inflation],
MATCH(Control!A4, MacroData[Year],0))</f>
        <v>6.75</v>
      </c>
      <c r="BB2" s="72">
        <f>MacroData[[#This Row],[Year]]</f>
        <v>1999</v>
      </c>
      <c r="BC2">
        <f>MacroData[[#This Row],[Unemployment_Rate]]</f>
        <v>13.79</v>
      </c>
      <c r="BD2">
        <f>MacroData[[#This Row],[Labour_Force_Part_Rate]]</f>
        <v>42.32</v>
      </c>
      <c r="BE2">
        <f>MacroData[[#This Row],[Female_LFPR]]</f>
        <v>47.59</v>
      </c>
      <c r="BF2">
        <f>INDEX(MacroData[Male_Wage_Growth],
MATCH(Control!A4, MacroData[Year],0))</f>
        <v>87.79</v>
      </c>
      <c r="BG2">
        <f>INDEX(MacroData[Female_Wage_Growth],
MATCH(Control!A4, MacroData[Year],0))</f>
        <v>82.97</v>
      </c>
      <c r="BH2" s="82">
        <f>INDEX(MacroData[Male_Wage_Growth],
MATCH(Control!A4, MacroData[Year],0))
-
INDEX(MacroData[Female_Wage_Growth],
MATCH(Control!A4, MacroData[Year],0))</f>
        <v>4.8200000000000074</v>
      </c>
      <c r="BJ2" s="72">
        <f>MacroData[[#This Row],[Year]]</f>
        <v>1999</v>
      </c>
      <c r="BK2">
        <f>MacroData[[#This Row],[Exports]]</f>
        <v>36.03</v>
      </c>
      <c r="BL2">
        <f>MacroData[[#This Row],[Imports]]</f>
        <v>82.15</v>
      </c>
      <c r="BM2">
        <f>MacroData[[#This Row],[Exchange_Rate_Movement]]</f>
        <v>0.57999999999999996</v>
      </c>
      <c r="BN2">
        <f>MacroData[[#This Row],[FDI]]</f>
        <v>4.75</v>
      </c>
      <c r="BO2" s="82">
        <f>Table5[[#This Row],[Exports]] - Table5[[#This Row],[Imports]]</f>
        <v>-46.120000000000005</v>
      </c>
      <c r="BQ2">
        <f>INDEX(MacroData[FDI],
MATCH(Control!A4, MacroData[Year],0))</f>
        <v>4.97</v>
      </c>
      <c r="BS2" s="72">
        <f>MacroData[[#This Row],[Year]]</f>
        <v>1999</v>
      </c>
      <c r="BT2">
        <f>MacroData[[#This Row],[Gov_Expenditure]]</f>
        <v>40.4</v>
      </c>
      <c r="BU2">
        <f>MacroData[[#This Row],[Budget_Deficit]]</f>
        <v>-3.5</v>
      </c>
      <c r="BV2">
        <f>MacroData[[#This Row],[Public_Debt]]</f>
        <v>14.8</v>
      </c>
      <c r="BW2">
        <f>MacroData[[#This Row],[Revenue_Taxation]]</f>
        <v>21</v>
      </c>
    </row>
    <row r="3" spans="1:77" x14ac:dyDescent="0.3">
      <c r="A3" s="75">
        <v>2000</v>
      </c>
      <c r="B3" s="2" t="str">
        <f t="shared" ref="B3:B27" si="0">RIGHT(A3, 2)</f>
        <v>00</v>
      </c>
      <c r="C3" s="2">
        <f t="shared" ref="C3:C27" si="1">$C$28</f>
        <v>0.52359999999999995</v>
      </c>
      <c r="D3">
        <f>GETPIVOTDATA(""&amp;D$1,Control!$W$3,"Year",""&amp;$A3)</f>
        <v>5.84</v>
      </c>
      <c r="E3">
        <f>GETPIVOTDATA(""&amp;E$1,Control!$W$3,"Year",""&amp;$A3)</f>
        <v>6.09</v>
      </c>
      <c r="F3" s="2">
        <f t="shared" ref="F3:F27" si="2">C3</f>
        <v>0.52359999999999995</v>
      </c>
      <c r="G3" t="e">
        <f>IFERROR(GETPIVOTDATA(""&amp;D$1,Control!$B$3,"Year",""&amp;$A3),NA())</f>
        <v>#N/A</v>
      </c>
      <c r="H3" t="e">
        <f>IFERROR(GETPIVOTDATA(""&amp;E$1,Control!$B$3,"Year",""&amp;$A3),NA())</f>
        <v>#N/A</v>
      </c>
      <c r="I3" t="e">
        <f t="shared" ref="I3:I27" si="3">C3+G3</f>
        <v>#N/A</v>
      </c>
      <c r="J3" t="e">
        <f t="shared" ref="J3:J27" si="4">IF(G3&gt;1,TEXT(ROUND(G3/1,0),"0"),G3)</f>
        <v>#N/A</v>
      </c>
      <c r="L3">
        <f>GETPIVOTDATA(""&amp;L$1,Control!$B$36,"Year",""&amp;$A3)</f>
        <v>84.61</v>
      </c>
      <c r="M3">
        <f>GETPIVOTDATA(""&amp;M$1,Control!$B$36,"Year",""&amp;$A3)</f>
        <v>81.48</v>
      </c>
      <c r="N3" s="6">
        <f t="shared" ref="N3:N27" si="5">L3/SUM(L3:M3)</f>
        <v>0.50942260220362456</v>
      </c>
      <c r="Q3" s="7">
        <f>SIN(O2*2*PI())</f>
        <v>-9.7277559417423984E-2</v>
      </c>
      <c r="R3" s="7">
        <f>COS(O2*2*PI())</f>
        <v>-0.99525729157529386</v>
      </c>
      <c r="T3">
        <f>GETPIVOTDATA(""&amp;T$1,Control!$B$66,"Year",""&amp;$A3)</f>
        <v>37.72</v>
      </c>
      <c r="U3">
        <f>GETPIVOTDATA(""&amp;U$1,Control!$C$66,"Year",""&amp;$A3)</f>
        <v>83.61</v>
      </c>
      <c r="V3" s="6">
        <f t="shared" ref="V3:V26" si="6">T3/SUM(T3:U3)</f>
        <v>0.31088766174894916</v>
      </c>
      <c r="Y3" s="2">
        <f>SIN(W2*2*PI())</f>
        <v>0.91914610842586075</v>
      </c>
      <c r="Z3" s="2">
        <f>COS(W2*2*PI())</f>
        <v>-0.39391678228478139</v>
      </c>
      <c r="AB3">
        <v>4.09</v>
      </c>
      <c r="AC3">
        <v>23.05</v>
      </c>
      <c r="AD3">
        <v>71.06</v>
      </c>
      <c r="AG3" t="s">
        <v>63</v>
      </c>
      <c r="AH3">
        <f>INDEX(MacroData[Industry],
MATCH(Control!A4, MacroData[Year],0))</f>
        <v>21.03</v>
      </c>
      <c r="AJ3" s="72">
        <f>MacroData[[#This Row],[Year]]</f>
        <v>2000</v>
      </c>
      <c r="AK3">
        <f>MacroData[[#This Row],[Policy_Interest_Rate]]</f>
        <v>12.5</v>
      </c>
      <c r="AL3">
        <f>MacroData[[#This Row],[Market_Interest_Rate]]</f>
        <v>12.5</v>
      </c>
      <c r="AN3">
        <v>2001</v>
      </c>
      <c r="AO3">
        <v>21</v>
      </c>
      <c r="AR3" s="72">
        <f>MacroData[[#This Row],[Year]]</f>
        <v>2000</v>
      </c>
      <c r="AS3">
        <f>MacroData[[#This Row],[Headline_Inflation]]</f>
        <v>2.65</v>
      </c>
      <c r="AT3">
        <f>MacroData[[#This Row],[Core_Inflation]]</f>
        <v>2.4</v>
      </c>
      <c r="AU3">
        <f>MacroData[[#This Row],[Food_Inflation]]</f>
        <v>-0.1</v>
      </c>
      <c r="AV3">
        <f>MacroData[[#This Row],[Non_Food_Inflation]]</f>
        <v>3.1</v>
      </c>
      <c r="AW3">
        <f>MacroData[[#This Row],[PPI]]</f>
        <v>0.6</v>
      </c>
      <c r="AY3" t="s">
        <v>120</v>
      </c>
      <c r="AZ3">
        <f>INDEX(MacroData[Core_Inflation],
MATCH(Control!A4, MacroData[Year],0))</f>
        <v>5.0999999999999996</v>
      </c>
      <c r="BB3" s="72">
        <f>MacroData[[#This Row],[Year]]</f>
        <v>2000</v>
      </c>
      <c r="BC3">
        <f>MacroData[[#This Row],[Unemployment_Rate]]</f>
        <v>14.21</v>
      </c>
      <c r="BD3">
        <f>MacroData[[#This Row],[Labour_Force_Part_Rate]]</f>
        <v>38.44</v>
      </c>
      <c r="BE3">
        <f>MacroData[[#This Row],[Female_LFPR]]</f>
        <v>48.04</v>
      </c>
      <c r="BF3">
        <f>INDEX(MacroData[Male_Wage_Growth],
MATCH(Control!A5, MacroData[Year],0))</f>
        <v>88.56</v>
      </c>
      <c r="BG3">
        <f>INDEX(MacroData[Female_Wage_Growth],
MATCH(Control!A5, MacroData[Year],0))</f>
        <v>83.74</v>
      </c>
      <c r="BH3" s="82">
        <f>INDEX(MacroData[Male_Wage_Growth],
MATCH(Control!A5, MacroData[Year],0))
-
INDEX(MacroData[Female_Wage_Growth],
MATCH(Control!A5, MacroData[Year],0))</f>
        <v>4.8200000000000074</v>
      </c>
      <c r="BJ3" s="72">
        <f>MacroData[[#This Row],[Year]]</f>
        <v>2000</v>
      </c>
      <c r="BK3">
        <f>MacroData[[#This Row],[Exports]]</f>
        <v>37.72</v>
      </c>
      <c r="BL3">
        <f>MacroData[[#This Row],[Imports]]</f>
        <v>83.61</v>
      </c>
      <c r="BM3">
        <f>MacroData[[#This Row],[Exchange_Rate_Movement]]</f>
        <v>0.61</v>
      </c>
      <c r="BN3">
        <f>MacroData[[#This Row],[FDI]]</f>
        <v>4.18</v>
      </c>
      <c r="BO3" s="82">
        <f>Table5[[#This Row],[Exports]] - Table5[[#This Row],[Imports]]</f>
        <v>-45.89</v>
      </c>
      <c r="BS3" s="72">
        <f>MacroData[[#This Row],[Year]]</f>
        <v>2000</v>
      </c>
      <c r="BT3">
        <f>MacroData[[#This Row],[Gov_Expenditure]]</f>
        <v>37</v>
      </c>
      <c r="BU3">
        <f>MacroData[[#This Row],[Budget_Deficit]]</f>
        <v>-2.6</v>
      </c>
      <c r="BV3">
        <f>MacroData[[#This Row],[Public_Debt]]</f>
        <v>15.1</v>
      </c>
      <c r="BW3">
        <f>MacroData[[#This Row],[Revenue_Taxation]]</f>
        <v>23</v>
      </c>
    </row>
    <row r="4" spans="1:77" x14ac:dyDescent="0.3">
      <c r="A4" s="74">
        <v>2001</v>
      </c>
      <c r="B4" s="2" t="str">
        <f t="shared" si="0"/>
        <v>01</v>
      </c>
      <c r="C4" s="2">
        <f t="shared" si="1"/>
        <v>0.52359999999999995</v>
      </c>
      <c r="D4">
        <f>GETPIVOTDATA(""&amp;D$1,Control!$W$3,"Year",""&amp;$A4)</f>
        <v>6.46</v>
      </c>
      <c r="E4">
        <f>GETPIVOTDATA(""&amp;E$1,Control!$W$3,"Year",""&amp;$A4)</f>
        <v>7.08</v>
      </c>
      <c r="F4" s="2">
        <f t="shared" si="2"/>
        <v>0.52359999999999995</v>
      </c>
      <c r="G4" t="e">
        <f>IFERROR(GETPIVOTDATA(""&amp;D$1,Control!$B$3,"Year",""&amp;$A4),NA())</f>
        <v>#N/A</v>
      </c>
      <c r="H4" t="e">
        <f>IFERROR(GETPIVOTDATA(""&amp;E$1,Control!$B$3,"Year",""&amp;$A4),NA())</f>
        <v>#N/A</v>
      </c>
      <c r="I4" t="e">
        <f t="shared" si="3"/>
        <v>#N/A</v>
      </c>
      <c r="J4" t="e">
        <f t="shared" si="4"/>
        <v>#N/A</v>
      </c>
      <c r="L4">
        <f>GETPIVOTDATA(""&amp;L$1,Control!$B$36,"Year",""&amp;$A4)</f>
        <v>84.25</v>
      </c>
      <c r="M4">
        <f>GETPIVOTDATA(""&amp;M$1,Control!$B$36,"Year",""&amp;$A4)</f>
        <v>80.16</v>
      </c>
      <c r="N4" s="6">
        <f t="shared" si="5"/>
        <v>0.51243841615473518</v>
      </c>
      <c r="T4">
        <f>GETPIVOTDATA(""&amp;T$1,Control!$B$66,"Year",""&amp;$A4)</f>
        <v>38.799999999999997</v>
      </c>
      <c r="U4">
        <f>GETPIVOTDATA(""&amp;U$1,Control!$C$66,"Year",""&amp;$A4)</f>
        <v>88.18</v>
      </c>
      <c r="V4" s="6">
        <f t="shared" si="6"/>
        <v>0.30555993069774767</v>
      </c>
      <c r="AB4">
        <v>4.07</v>
      </c>
      <c r="AC4">
        <v>23.01</v>
      </c>
      <c r="AD4">
        <v>72.02</v>
      </c>
      <c r="AG4" t="s">
        <v>64</v>
      </c>
      <c r="AH4">
        <f>INDEX(MacroData[Services],
MATCH(Control!A4, MacroData[Year],0))</f>
        <v>74.05</v>
      </c>
      <c r="AJ4" s="72">
        <f>MacroData[[#This Row],[Year]]</f>
        <v>2001</v>
      </c>
      <c r="AK4">
        <f>MacroData[[#This Row],[Policy_Interest_Rate]]</f>
        <v>11.1</v>
      </c>
      <c r="AL4">
        <f>MacroData[[#This Row],[Market_Interest_Rate]]</f>
        <v>11.1</v>
      </c>
      <c r="AN4">
        <v>2002</v>
      </c>
      <c r="AO4">
        <v>21</v>
      </c>
      <c r="AR4" s="72">
        <f>MacroData[[#This Row],[Year]]</f>
        <v>2001</v>
      </c>
      <c r="AS4">
        <f>MacroData[[#This Row],[Headline_Inflation]]</f>
        <v>2.4900000000000002</v>
      </c>
      <c r="AT4">
        <f>MacroData[[#This Row],[Core_Inflation]]</f>
        <v>2.2000000000000002</v>
      </c>
      <c r="AU4">
        <f>MacroData[[#This Row],[Food_Inflation]]</f>
        <v>3.8</v>
      </c>
      <c r="AV4">
        <f>MacroData[[#This Row],[Non_Food_Inflation]]</f>
        <v>2</v>
      </c>
      <c r="AW4">
        <f>MacroData[[#This Row],[PPI]]</f>
        <v>0.2</v>
      </c>
      <c r="AY4" t="s">
        <v>121</v>
      </c>
      <c r="AZ4">
        <f>INDEX(MacroData[Food_Inflation],
MATCH(Control!A4, MacroData[Year],0))</f>
        <v>8.8000000000000007</v>
      </c>
      <c r="BB4" s="72">
        <f>MacroData[[#This Row],[Year]]</f>
        <v>2001</v>
      </c>
      <c r="BC4">
        <f>MacroData[[#This Row],[Unemployment_Rate]]</f>
        <v>13.82</v>
      </c>
      <c r="BD4">
        <f>MacroData[[#This Row],[Labour_Force_Part_Rate]]</f>
        <v>37.4</v>
      </c>
      <c r="BE4">
        <f>MacroData[[#This Row],[Female_LFPR]]</f>
        <v>48.77</v>
      </c>
      <c r="BF4">
        <f>INDEX(MacroData[Male_Wage_Growth],
MATCH(Control!A6, MacroData[Year],0))</f>
        <v>88.94</v>
      </c>
      <c r="BG4">
        <f>INDEX(MacroData[Female_Wage_Growth],
MATCH(Control!A6, MacroData[Year],0))</f>
        <v>84.17</v>
      </c>
      <c r="BH4" s="82">
        <f>INDEX(MacroData[Male_Wage_Growth],
MATCH(Control!A6, MacroData[Year],0))
-
INDEX(MacroData[Female_Wage_Growth],
MATCH(Control!A6, MacroData[Year],0))</f>
        <v>4.769999999999996</v>
      </c>
      <c r="BJ4" s="72">
        <f>MacroData[[#This Row],[Year]]</f>
        <v>2001</v>
      </c>
      <c r="BK4">
        <f>MacroData[[#This Row],[Exports]]</f>
        <v>38.799999999999997</v>
      </c>
      <c r="BL4">
        <f>MacroData[[#This Row],[Imports]]</f>
        <v>88.18</v>
      </c>
      <c r="BM4">
        <f>MacroData[[#This Row],[Exchange_Rate_Movement]]</f>
        <v>0.62</v>
      </c>
      <c r="BN4">
        <f>MacroData[[#This Row],[FDI]]</f>
        <v>2.12</v>
      </c>
      <c r="BO4" s="82">
        <f>Table5[[#This Row],[Exports]] - Table5[[#This Row],[Imports]]</f>
        <v>-49.38000000000001</v>
      </c>
      <c r="BS4" s="72">
        <f>MacroData[[#This Row],[Year]]</f>
        <v>2001</v>
      </c>
      <c r="BT4">
        <f>MacroData[[#This Row],[Gov_Expenditure]]</f>
        <v>35</v>
      </c>
      <c r="BU4">
        <f>MacroData[[#This Row],[Budget_Deficit]]</f>
        <v>-2</v>
      </c>
      <c r="BV4">
        <f>MacroData[[#This Row],[Public_Debt]]</f>
        <v>17.8</v>
      </c>
      <c r="BW4">
        <f>MacroData[[#This Row],[Revenue_Taxation]]</f>
        <v>25</v>
      </c>
      <c r="BY4">
        <f>INDEX(MacroData[Public_Debt],
MATCH(Control!A4, MacroData[Year],0))</f>
        <v>12.5</v>
      </c>
    </row>
    <row r="5" spans="1:77" x14ac:dyDescent="0.3">
      <c r="A5" s="75">
        <v>2002</v>
      </c>
      <c r="B5" s="2" t="str">
        <f t="shared" si="0"/>
        <v>02</v>
      </c>
      <c r="C5" s="2">
        <f t="shared" si="1"/>
        <v>0.52359999999999995</v>
      </c>
      <c r="D5">
        <f>GETPIVOTDATA(""&amp;D$1,Control!$W$3,"Year",""&amp;$A5)</f>
        <v>7.67</v>
      </c>
      <c r="E5">
        <f>GETPIVOTDATA(""&amp;E$1,Control!$W$3,"Year",""&amp;$A5)</f>
        <v>8.09</v>
      </c>
      <c r="F5" s="2">
        <f t="shared" si="2"/>
        <v>0.52359999999999995</v>
      </c>
      <c r="G5" t="e">
        <f>IFERROR(GETPIVOTDATA(""&amp;D$1,Control!$B$3,"Year",""&amp;$A5),NA())</f>
        <v>#N/A</v>
      </c>
      <c r="H5" t="e">
        <f>IFERROR(GETPIVOTDATA(""&amp;E$1,Control!$B$3,"Year",""&amp;$A5),NA())</f>
        <v>#N/A</v>
      </c>
      <c r="I5" t="e">
        <f t="shared" si="3"/>
        <v>#N/A</v>
      </c>
      <c r="J5" t="e">
        <f t="shared" si="4"/>
        <v>#N/A</v>
      </c>
      <c r="L5">
        <f>GETPIVOTDATA(""&amp;L$1,Control!$B$36,"Year",""&amp;$A5)</f>
        <v>85.46</v>
      </c>
      <c r="M5">
        <f>GETPIVOTDATA(""&amp;M$1,Control!$B$36,"Year",""&amp;$A5)</f>
        <v>80.83</v>
      </c>
      <c r="N5" s="6">
        <f t="shared" si="5"/>
        <v>0.51392146250526183</v>
      </c>
      <c r="T5">
        <f>GETPIVOTDATA(""&amp;T$1,Control!$B$66,"Year",""&amp;$A5)</f>
        <v>37.76</v>
      </c>
      <c r="U5">
        <f>GETPIVOTDATA(""&amp;U$1,Control!$C$66,"Year",""&amp;$A5)</f>
        <v>85.98</v>
      </c>
      <c r="V5" s="6">
        <f t="shared" si="6"/>
        <v>0.3051559721997737</v>
      </c>
      <c r="AB5">
        <v>4.07</v>
      </c>
      <c r="AC5">
        <v>22.08</v>
      </c>
      <c r="AD5">
        <v>72.05</v>
      </c>
      <c r="AH5">
        <f>SUM(AH2:AH4)</f>
        <v>99.1</v>
      </c>
      <c r="AJ5" s="72">
        <f>MacroData[[#This Row],[Year]]</f>
        <v>2002</v>
      </c>
      <c r="AK5">
        <f>MacroData[[#This Row],[Policy_Interest_Rate]]</f>
        <v>8.8000000000000007</v>
      </c>
      <c r="AL5">
        <f>MacroData[[#This Row],[Market_Interest_Rate]]</f>
        <v>8.8000000000000007</v>
      </c>
      <c r="AN5">
        <v>2003</v>
      </c>
      <c r="AO5">
        <v>19</v>
      </c>
      <c r="AR5" s="72">
        <f>MacroData[[#This Row],[Year]]</f>
        <v>2002</v>
      </c>
      <c r="AS5">
        <f>MacroData[[#This Row],[Headline_Inflation]]</f>
        <v>1.94</v>
      </c>
      <c r="AT5">
        <f>MacroData[[#This Row],[Core_Inflation]]</f>
        <v>2</v>
      </c>
      <c r="AU5">
        <f>MacroData[[#This Row],[Food_Inflation]]</f>
        <v>1.5</v>
      </c>
      <c r="AV5">
        <f>MacroData[[#This Row],[Non_Food_Inflation]]</f>
        <v>1.8</v>
      </c>
      <c r="AW5">
        <f>MacroData[[#This Row],[PPI]]</f>
        <v>1</v>
      </c>
      <c r="AY5" t="s">
        <v>122</v>
      </c>
      <c r="AZ5">
        <f>INDEX(MacroData[Non_Food_Inflation],
MATCH(Control!A4, MacroData[Year],0))</f>
        <v>5.9</v>
      </c>
      <c r="BB5" s="72">
        <f>MacroData[[#This Row],[Year]]</f>
        <v>2002</v>
      </c>
      <c r="BC5">
        <f>MacroData[[#This Row],[Unemployment_Rate]]</f>
        <v>13.83</v>
      </c>
      <c r="BD5">
        <f>MacroData[[#This Row],[Labour_Force_Part_Rate]]</f>
        <v>37.85</v>
      </c>
      <c r="BE5">
        <f>MacroData[[#This Row],[Female_LFPR]]</f>
        <v>48.74</v>
      </c>
      <c r="BF5">
        <f>INDEX(MacroData[Male_Wage_Growth],
MATCH(Control!A7, MacroData[Year],0))</f>
        <v>89.88</v>
      </c>
      <c r="BG5">
        <f>INDEX(MacroData[Female_Wage_Growth],
MATCH(Control!A7, MacroData[Year],0))</f>
        <v>84.36</v>
      </c>
      <c r="BH5" s="82">
        <f>INDEX(MacroData[Male_Wage_Growth],
MATCH(Control!A7, MacroData[Year],0))
-
INDEX(MacroData[Female_Wage_Growth],
MATCH(Control!A7, MacroData[Year],0))</f>
        <v>5.519999999999996</v>
      </c>
      <c r="BJ5" s="72">
        <f>MacroData[[#This Row],[Year]]</f>
        <v>2002</v>
      </c>
      <c r="BK5">
        <f>MacroData[[#This Row],[Exports]]</f>
        <v>37.76</v>
      </c>
      <c r="BL5">
        <f>MacroData[[#This Row],[Imports]]</f>
        <v>85.98</v>
      </c>
      <c r="BM5">
        <f>MacroData[[#This Row],[Exchange_Rate_Movement]]</f>
        <v>0.61</v>
      </c>
      <c r="BN5">
        <f>MacroData[[#This Row],[FDI]]</f>
        <v>1.73</v>
      </c>
      <c r="BO5" s="82">
        <f>Table5[[#This Row],[Exports]] - Table5[[#This Row],[Imports]]</f>
        <v>-48.220000000000006</v>
      </c>
      <c r="BS5" s="72">
        <f>MacroData[[#This Row],[Year]]</f>
        <v>2002</v>
      </c>
      <c r="BT5">
        <f>MacroData[[#This Row],[Gov_Expenditure]]</f>
        <v>35.4</v>
      </c>
      <c r="BU5">
        <f>MacroData[[#This Row],[Budget_Deficit]]</f>
        <v>-2.6</v>
      </c>
      <c r="BV5">
        <f>MacroData[[#This Row],[Public_Debt]]</f>
        <v>15.4</v>
      </c>
      <c r="BW5">
        <f>MacroData[[#This Row],[Revenue_Taxation]]</f>
        <v>24</v>
      </c>
    </row>
    <row r="6" spans="1:77" x14ac:dyDescent="0.3">
      <c r="A6" s="74">
        <v>2003</v>
      </c>
      <c r="B6" s="2" t="str">
        <f t="shared" si="0"/>
        <v>03</v>
      </c>
      <c r="C6" s="2">
        <f t="shared" si="1"/>
        <v>0.52359999999999995</v>
      </c>
      <c r="D6">
        <f>GETPIVOTDATA(""&amp;D$1,Control!$W$3,"Year",""&amp;$A6)</f>
        <v>8.43</v>
      </c>
      <c r="E6">
        <f>GETPIVOTDATA(""&amp;E$1,Control!$W$3,"Year",""&amp;$A6)</f>
        <v>9.0500000000000007</v>
      </c>
      <c r="F6" s="2">
        <f t="shared" si="2"/>
        <v>0.52359999999999995</v>
      </c>
      <c r="G6" t="e">
        <f>IFERROR(GETPIVOTDATA(""&amp;D$1,Control!$B$3,"Year",""&amp;$A6),NA())</f>
        <v>#N/A</v>
      </c>
      <c r="H6" t="e">
        <f>IFERROR(GETPIVOTDATA(""&amp;E$1,Control!$B$3,"Year",""&amp;$A6),NA())</f>
        <v>#N/A</v>
      </c>
      <c r="I6" t="e">
        <f t="shared" si="3"/>
        <v>#N/A</v>
      </c>
      <c r="J6" t="e">
        <f t="shared" si="4"/>
        <v>#N/A</v>
      </c>
      <c r="L6">
        <f>GETPIVOTDATA(""&amp;L$1,Control!$B$36,"Year",""&amp;$A6)</f>
        <v>85.6</v>
      </c>
      <c r="M6">
        <f>GETPIVOTDATA(""&amp;M$1,Control!$B$36,"Year",""&amp;$A6)</f>
        <v>81.33</v>
      </c>
      <c r="N6" s="6">
        <f t="shared" si="5"/>
        <v>0.51278979212843701</v>
      </c>
      <c r="T6">
        <f>GETPIVOTDATA(""&amp;T$1,Control!$B$66,"Year",""&amp;$A6)</f>
        <v>37.74</v>
      </c>
      <c r="U6">
        <f>GETPIVOTDATA(""&amp;U$1,Control!$C$66,"Year",""&amp;$A6)</f>
        <v>88.58</v>
      </c>
      <c r="V6" s="6">
        <f t="shared" si="6"/>
        <v>0.29876504116529451</v>
      </c>
      <c r="AB6">
        <v>4.03</v>
      </c>
      <c r="AC6">
        <v>22.01</v>
      </c>
      <c r="AD6">
        <v>73.06</v>
      </c>
      <c r="AG6" t="s">
        <v>107</v>
      </c>
      <c r="AH6" t="s">
        <v>106</v>
      </c>
      <c r="AJ6" s="72">
        <f>MacroData[[#This Row],[Year]]</f>
        <v>2003</v>
      </c>
      <c r="AK6">
        <f>MacroData[[#This Row],[Policy_Interest_Rate]]</f>
        <v>7.4</v>
      </c>
      <c r="AL6">
        <f>MacroData[[#This Row],[Market_Interest_Rate]]</f>
        <v>7.4</v>
      </c>
      <c r="AN6">
        <v>2004</v>
      </c>
      <c r="AO6">
        <v>27</v>
      </c>
      <c r="AR6" s="72">
        <f>MacroData[[#This Row],[Year]]</f>
        <v>2003</v>
      </c>
      <c r="AS6">
        <f>MacroData[[#This Row],[Headline_Inflation]]</f>
        <v>2.94</v>
      </c>
      <c r="AT6">
        <f>MacroData[[#This Row],[Core_Inflation]]</f>
        <v>2.1</v>
      </c>
      <c r="AU6">
        <f>MacroData[[#This Row],[Food_Inflation]]</f>
        <v>2.4</v>
      </c>
      <c r="AV6">
        <f>MacroData[[#This Row],[Non_Food_Inflation]]</f>
        <v>3</v>
      </c>
      <c r="AW6">
        <f>MacroData[[#This Row],[PPI]]</f>
        <v>3.2</v>
      </c>
      <c r="BB6" s="72">
        <f>MacroData[[#This Row],[Year]]</f>
        <v>2003</v>
      </c>
      <c r="BC6">
        <f>MacroData[[#This Row],[Unemployment_Rate]]</f>
        <v>12.06</v>
      </c>
      <c r="BD6">
        <f>MacroData[[#This Row],[Labour_Force_Part_Rate]]</f>
        <v>38.869999999999997</v>
      </c>
      <c r="BE6">
        <f>MacroData[[#This Row],[Female_LFPR]]</f>
        <v>48.94</v>
      </c>
      <c r="BF6">
        <f>INDEX(MacroData[Male_Wage_Growth],
MATCH(Control!A8, MacroData[Year],0))</f>
        <v>89.25</v>
      </c>
      <c r="BG6">
        <f>INDEX(MacroData[Female_Wage_Growth],
MATCH(Control!A8, MacroData[Year],0))</f>
        <v>83.54</v>
      </c>
      <c r="BH6" s="82">
        <f>INDEX(MacroData[Male_Wage_Growth],
MATCH(Control!A8, MacroData[Year],0))
-
INDEX(MacroData[Female_Wage_Growth],
MATCH(Control!A8, MacroData[Year],0))</f>
        <v>5.7099999999999937</v>
      </c>
      <c r="BJ6" s="72">
        <f>MacroData[[#This Row],[Year]]</f>
        <v>2003</v>
      </c>
      <c r="BK6">
        <f>MacroData[[#This Row],[Exports]]</f>
        <v>37.74</v>
      </c>
      <c r="BL6">
        <f>MacroData[[#This Row],[Imports]]</f>
        <v>88.58</v>
      </c>
      <c r="BM6">
        <f>MacroData[[#This Row],[Exchange_Rate_Movement]]</f>
        <v>0.56999999999999995</v>
      </c>
      <c r="BN6">
        <f>MacroData[[#This Row],[FDI]]</f>
        <v>2.82</v>
      </c>
      <c r="BO6" s="82">
        <f>Table5[[#This Row],[Exports]] - Table5[[#This Row],[Imports]]</f>
        <v>-50.839999999999996</v>
      </c>
      <c r="BS6" s="72">
        <f>MacroData[[#This Row],[Year]]</f>
        <v>2003</v>
      </c>
      <c r="BT6">
        <f>MacroData[[#This Row],[Gov_Expenditure]]</f>
        <v>34.4</v>
      </c>
      <c r="BU6">
        <f>MacroData[[#This Row],[Budget_Deficit]]</f>
        <v>-1.7</v>
      </c>
      <c r="BV6">
        <f>MacroData[[#This Row],[Public_Debt]]</f>
        <v>15.4</v>
      </c>
      <c r="BW6">
        <f>MacroData[[#This Row],[Revenue_Taxation]]</f>
        <v>23</v>
      </c>
      <c r="BY6">
        <f>INDEX(MacroData[Revenue_Taxation],
MATCH(Control!A4, MacroData[Year],0))</f>
        <v>24</v>
      </c>
    </row>
    <row r="7" spans="1:77" ht="28.8" x14ac:dyDescent="0.3">
      <c r="A7" s="75">
        <v>2004</v>
      </c>
      <c r="B7" s="2" t="str">
        <f t="shared" si="0"/>
        <v>04</v>
      </c>
      <c r="C7" s="2">
        <f t="shared" si="1"/>
        <v>0.52359999999999995</v>
      </c>
      <c r="D7">
        <f>GETPIVOTDATA(""&amp;D$1,Control!$W$3,"Year",""&amp;$A7)</f>
        <v>8.73</v>
      </c>
      <c r="E7">
        <f>GETPIVOTDATA(""&amp;E$1,Control!$W$3,"Year",""&amp;$A7)</f>
        <v>9.09</v>
      </c>
      <c r="F7" s="2">
        <f t="shared" si="2"/>
        <v>0.52359999999999995</v>
      </c>
      <c r="G7" t="e">
        <f>IFERROR(GETPIVOTDATA(""&amp;D$1,Control!$B$3,"Year",""&amp;$A7),NA())</f>
        <v>#N/A</v>
      </c>
      <c r="H7" t="e">
        <f>IFERROR(GETPIVOTDATA(""&amp;E$1,Control!$B$3,"Year",""&amp;$A7),NA())</f>
        <v>#N/A</v>
      </c>
      <c r="I7" t="e">
        <f t="shared" si="3"/>
        <v>#N/A</v>
      </c>
      <c r="J7" t="e">
        <f t="shared" si="4"/>
        <v>#N/A</v>
      </c>
      <c r="L7">
        <f>GETPIVOTDATA(""&amp;L$1,Control!$B$36,"Year",""&amp;$A7)</f>
        <v>85.13</v>
      </c>
      <c r="M7">
        <f>GETPIVOTDATA(""&amp;M$1,Control!$B$36,"Year",""&amp;$A7)</f>
        <v>82.02</v>
      </c>
      <c r="N7" s="6">
        <f t="shared" si="5"/>
        <v>0.50930302123840865</v>
      </c>
      <c r="T7">
        <f>GETPIVOTDATA(""&amp;T$1,Control!$B$66,"Year",""&amp;$A7)</f>
        <v>40.630000000000003</v>
      </c>
      <c r="U7">
        <f>GETPIVOTDATA(""&amp;U$1,Control!$C$66,"Year",""&amp;$A7)</f>
        <v>97.24</v>
      </c>
      <c r="V7" s="6">
        <f t="shared" si="6"/>
        <v>0.29469790382244143</v>
      </c>
      <c r="AB7">
        <v>4.05</v>
      </c>
      <c r="AC7">
        <v>21.05</v>
      </c>
      <c r="AD7">
        <v>74</v>
      </c>
      <c r="AG7" s="79" t="s">
        <v>109</v>
      </c>
      <c r="AH7">
        <f>INDEX(MacroData[Consumption_Contribution],MATCH(Control!A4, MacroData[Year],0))</f>
        <v>65.3</v>
      </c>
      <c r="AJ7" s="72">
        <f>MacroData[[#This Row],[Year]]</f>
        <v>2004</v>
      </c>
      <c r="AK7">
        <f>MacroData[[#This Row],[Policy_Interest_Rate]]</f>
        <v>6.9</v>
      </c>
      <c r="AL7">
        <f>MacroData[[#This Row],[Market_Interest_Rate]]</f>
        <v>6.9</v>
      </c>
      <c r="AN7">
        <v>2005</v>
      </c>
      <c r="AO7">
        <v>38</v>
      </c>
      <c r="AR7" s="72">
        <f>MacroData[[#This Row],[Year]]</f>
        <v>2004</v>
      </c>
      <c r="AS7">
        <f>MacroData[[#This Row],[Headline_Inflation]]</f>
        <v>6.19</v>
      </c>
      <c r="AT7">
        <f>MacroData[[#This Row],[Core_Inflation]]</f>
        <v>4.4000000000000004</v>
      </c>
      <c r="AU7">
        <f>MacroData[[#This Row],[Food_Inflation]]</f>
        <v>9</v>
      </c>
      <c r="AV7">
        <f>MacroData[[#This Row],[Non_Food_Inflation]]</f>
        <v>4.9000000000000004</v>
      </c>
      <c r="AW7">
        <f>MacroData[[#This Row],[PPI]]</f>
        <v>6.5</v>
      </c>
      <c r="BB7" s="72">
        <f>MacroData[[#This Row],[Year]]</f>
        <v>2004</v>
      </c>
      <c r="BC7">
        <f>MacroData[[#This Row],[Unemployment_Rate]]</f>
        <v>11.71</v>
      </c>
      <c r="BD7">
        <f>MacroData[[#This Row],[Labour_Force_Part_Rate]]</f>
        <v>36.97</v>
      </c>
      <c r="BE7">
        <f>MacroData[[#This Row],[Female_LFPR]]</f>
        <v>48.54</v>
      </c>
      <c r="BF7">
        <f>INDEX(MacroData[Male_Wage_Growth],
MATCH(Control!A9, MacroData[Year],0))</f>
        <v>88.88</v>
      </c>
      <c r="BG7">
        <f>INDEX(MacroData[Female_Wage_Growth],
MATCH(Control!A9, MacroData[Year],0))</f>
        <v>83.57</v>
      </c>
      <c r="BH7" s="82">
        <f>INDEX(MacroData[Male_Wage_Growth],
MATCH(Control!A9, MacroData[Year],0))
-
INDEX(MacroData[Female_Wage_Growth],
MATCH(Control!A9, MacroData[Year],0))</f>
        <v>5.3100000000000023</v>
      </c>
      <c r="BJ7" s="72">
        <f>MacroData[[#This Row],[Year]]</f>
        <v>2004</v>
      </c>
      <c r="BK7">
        <f>MacroData[[#This Row],[Exports]]</f>
        <v>40.630000000000003</v>
      </c>
      <c r="BL7">
        <f>MacroData[[#This Row],[Imports]]</f>
        <v>97.24</v>
      </c>
      <c r="BM7">
        <f>MacroData[[#This Row],[Exchange_Rate_Movement]]</f>
        <v>0.54</v>
      </c>
      <c r="BN7">
        <f>MacroData[[#This Row],[FDI]]</f>
        <v>4.28</v>
      </c>
      <c r="BO7" s="82">
        <f>Table5[[#This Row],[Exports]] - Table5[[#This Row],[Imports]]</f>
        <v>-56.609999999999992</v>
      </c>
      <c r="BS7" s="72">
        <f>MacroData[[#This Row],[Year]]</f>
        <v>2004</v>
      </c>
      <c r="BT7">
        <f>MacroData[[#This Row],[Gov_Expenditure]]</f>
        <v>34.799999999999997</v>
      </c>
      <c r="BU7">
        <f>MacroData[[#This Row],[Budget_Deficit]]</f>
        <v>-1</v>
      </c>
      <c r="BV7">
        <f>MacroData[[#This Row],[Public_Debt]]</f>
        <v>15.3</v>
      </c>
      <c r="BW7">
        <f>MacroData[[#This Row],[Revenue_Taxation]]</f>
        <v>23</v>
      </c>
    </row>
    <row r="8" spans="1:77" x14ac:dyDescent="0.3">
      <c r="A8" s="74">
        <v>2005</v>
      </c>
      <c r="B8" s="2" t="str">
        <f t="shared" si="0"/>
        <v>05</v>
      </c>
      <c r="C8" s="2">
        <f t="shared" si="1"/>
        <v>0.52359999999999995</v>
      </c>
      <c r="D8">
        <f>GETPIVOTDATA(""&amp;D$1,Control!$W$3,"Year",""&amp;$A8)</f>
        <v>11.62</v>
      </c>
      <c r="E8">
        <f>GETPIVOTDATA(""&amp;E$1,Control!$W$3,"Year",""&amp;$A8)</f>
        <v>12.08</v>
      </c>
      <c r="F8" s="2">
        <f t="shared" si="2"/>
        <v>0.52359999999999995</v>
      </c>
      <c r="G8">
        <f>IFERROR(GETPIVOTDATA(""&amp;D$1,Control!$B$3,"Year",""&amp;$A8),NA())</f>
        <v>11.62</v>
      </c>
      <c r="H8">
        <f>IFERROR(GETPIVOTDATA(""&amp;E$1,Control!$B$3,"Year",""&amp;$A8),NA())</f>
        <v>12.08</v>
      </c>
      <c r="I8">
        <f t="shared" si="3"/>
        <v>12.143599999999999</v>
      </c>
      <c r="J8" t="str">
        <f t="shared" si="4"/>
        <v>12</v>
      </c>
      <c r="L8">
        <f>GETPIVOTDATA(""&amp;L$1,Control!$B$36,"Year",""&amp;$A8)</f>
        <v>87.79</v>
      </c>
      <c r="M8">
        <f>GETPIVOTDATA(""&amp;M$1,Control!$B$36,"Year",""&amp;$A8)</f>
        <v>82.97</v>
      </c>
      <c r="N8" s="6">
        <f t="shared" si="5"/>
        <v>0.51411337549777469</v>
      </c>
      <c r="T8">
        <f>GETPIVOTDATA(""&amp;T$1,Control!$B$66,"Year",""&amp;$A8)</f>
        <v>44.81</v>
      </c>
      <c r="U8">
        <f>GETPIVOTDATA(""&amp;U$1,Control!$C$66,"Year",""&amp;$A8)</f>
        <v>104.52</v>
      </c>
      <c r="V8" s="6">
        <f t="shared" si="6"/>
        <v>0.30007366235853483</v>
      </c>
      <c r="AB8">
        <v>4.0199999999999996</v>
      </c>
      <c r="AC8">
        <v>21.03</v>
      </c>
      <c r="AD8">
        <v>74.05</v>
      </c>
      <c r="AG8" t="s">
        <v>108</v>
      </c>
      <c r="AH8">
        <f>AH5</f>
        <v>99.1</v>
      </c>
      <c r="AJ8" s="72">
        <f>MacroData[[#This Row],[Year]]</f>
        <v>2005</v>
      </c>
      <c r="AK8">
        <f>MacroData[[#This Row],[Policy_Interest_Rate]]</f>
        <v>5.5</v>
      </c>
      <c r="AL8">
        <f>MacroData[[#This Row],[Market_Interest_Rate]]</f>
        <v>5.5</v>
      </c>
      <c r="AN8">
        <v>2006</v>
      </c>
      <c r="AO8">
        <v>41</v>
      </c>
      <c r="AR8" s="72">
        <f>MacroData[[#This Row],[Year]]</f>
        <v>2005</v>
      </c>
      <c r="AS8">
        <f>MacroData[[#This Row],[Headline_Inflation]]</f>
        <v>6.75</v>
      </c>
      <c r="AT8">
        <f>MacroData[[#This Row],[Core_Inflation]]</f>
        <v>5.0999999999999996</v>
      </c>
      <c r="AU8">
        <f>MacroData[[#This Row],[Food_Inflation]]</f>
        <v>8.8000000000000007</v>
      </c>
      <c r="AV8">
        <f>MacroData[[#This Row],[Non_Food_Inflation]]</f>
        <v>5.9</v>
      </c>
      <c r="AW8">
        <f>MacroData[[#This Row],[PPI]]</f>
        <v>8.5</v>
      </c>
      <c r="BB8" s="72">
        <f>MacroData[[#This Row],[Year]]</f>
        <v>2005</v>
      </c>
      <c r="BC8">
        <f>MacroData[[#This Row],[Unemployment_Rate]]</f>
        <v>10.029999999999999</v>
      </c>
      <c r="BD8">
        <f>MacroData[[#This Row],[Labour_Force_Part_Rate]]</f>
        <v>38.049999999999997</v>
      </c>
      <c r="BE8">
        <f>MacroData[[#This Row],[Female_LFPR]]</f>
        <v>48.49</v>
      </c>
      <c r="BF8">
        <f>INDEX(MacroData[Male_Wage_Growth],
MATCH(Control!A10, MacroData[Year],0))</f>
        <v>89.02</v>
      </c>
      <c r="BG8">
        <f>INDEX(MacroData[Female_Wage_Growth],
MATCH(Control!A10, MacroData[Year],0))</f>
        <v>83.66</v>
      </c>
      <c r="BH8" s="82">
        <f>INDEX(MacroData[Male_Wage_Growth],
MATCH(Control!A10, MacroData[Year],0))
-
INDEX(MacroData[Female_Wage_Growth],
MATCH(Control!A10, MacroData[Year],0))</f>
        <v>5.3599999999999994</v>
      </c>
      <c r="BJ8" s="72">
        <f>MacroData[[#This Row],[Year]]</f>
        <v>2005</v>
      </c>
      <c r="BK8">
        <f>MacroData[[#This Row],[Exports]]</f>
        <v>44.81</v>
      </c>
      <c r="BL8">
        <f>MacroData[[#This Row],[Imports]]</f>
        <v>104.52</v>
      </c>
      <c r="BM8">
        <f>MacroData[[#This Row],[Exchange_Rate_Movement]]</f>
        <v>0.56000000000000005</v>
      </c>
      <c r="BN8">
        <f>MacroData[[#This Row],[FDI]]</f>
        <v>4.97</v>
      </c>
      <c r="BO8" s="82">
        <f>Table5[[#This Row],[Exports]] - Table5[[#This Row],[Imports]]</f>
        <v>-59.709999999999994</v>
      </c>
      <c r="BS8" s="72">
        <f>MacroData[[#This Row],[Year]]</f>
        <v>2005</v>
      </c>
      <c r="BT8">
        <f>MacroData[[#This Row],[Gov_Expenditure]]</f>
        <v>35.799999999999997</v>
      </c>
      <c r="BU8">
        <f>MacroData[[#This Row],[Budget_Deficit]]</f>
        <v>-1.1000000000000001</v>
      </c>
      <c r="BV8">
        <f>MacroData[[#This Row],[Public_Debt]]</f>
        <v>12.5</v>
      </c>
      <c r="BW8">
        <f>MacroData[[#This Row],[Revenue_Taxation]]</f>
        <v>24</v>
      </c>
    </row>
    <row r="9" spans="1:77" x14ac:dyDescent="0.3">
      <c r="A9" s="75">
        <v>2006</v>
      </c>
      <c r="B9" s="2" t="str">
        <f t="shared" si="0"/>
        <v>06</v>
      </c>
      <c r="C9" s="2">
        <f t="shared" si="1"/>
        <v>0.52359999999999995</v>
      </c>
      <c r="D9">
        <f>GETPIVOTDATA(""&amp;D$1,Control!$W$3,"Year",""&amp;$A9)</f>
        <v>12.83</v>
      </c>
      <c r="E9">
        <f>GETPIVOTDATA(""&amp;E$1,Control!$W$3,"Year",""&amp;$A9)</f>
        <v>13.09</v>
      </c>
      <c r="F9" s="2">
        <f t="shared" si="2"/>
        <v>0.52359999999999995</v>
      </c>
      <c r="G9">
        <f>IFERROR(GETPIVOTDATA(""&amp;D$1,Control!$B$3,"Year",""&amp;$A9),NA())</f>
        <v>12.83</v>
      </c>
      <c r="H9">
        <f>IFERROR(GETPIVOTDATA(""&amp;E$1,Control!$B$3,"Year",""&amp;$A9),NA())</f>
        <v>13.09</v>
      </c>
      <c r="I9">
        <f t="shared" si="3"/>
        <v>13.3536</v>
      </c>
      <c r="J9" t="str">
        <f t="shared" si="4"/>
        <v>13</v>
      </c>
      <c r="L9">
        <f>GETPIVOTDATA(""&amp;L$1,Control!$B$36,"Year",""&amp;$A9)</f>
        <v>88.56</v>
      </c>
      <c r="M9">
        <f>GETPIVOTDATA(""&amp;M$1,Control!$B$36,"Year",""&amp;$A9)</f>
        <v>83.74</v>
      </c>
      <c r="N9" s="6">
        <f t="shared" si="5"/>
        <v>0.5139872315728381</v>
      </c>
      <c r="T9">
        <f>GETPIVOTDATA(""&amp;T$1,Control!$B$66,"Year",""&amp;$A9)</f>
        <v>41.95</v>
      </c>
      <c r="U9">
        <f>GETPIVOTDATA(""&amp;U$1,Control!$C$66,"Year",""&amp;$A9)</f>
        <v>105.7</v>
      </c>
      <c r="V9" s="6">
        <f t="shared" si="6"/>
        <v>0.28411784625804265</v>
      </c>
      <c r="AB9">
        <v>3.06</v>
      </c>
      <c r="AC9">
        <v>20.09</v>
      </c>
      <c r="AD9">
        <v>75.05</v>
      </c>
      <c r="AJ9" s="72">
        <f>MacroData[[#This Row],[Year]]</f>
        <v>2006</v>
      </c>
      <c r="AK9">
        <f>MacroData[[#This Row],[Policy_Interest_Rate]]</f>
        <v>6.2</v>
      </c>
      <c r="AL9">
        <f>MacroData[[#This Row],[Market_Interest_Rate]]</f>
        <v>6.2</v>
      </c>
      <c r="AN9">
        <v>2007</v>
      </c>
      <c r="AO9">
        <v>13</v>
      </c>
      <c r="AR9" s="72">
        <f>MacroData[[#This Row],[Year]]</f>
        <v>2006</v>
      </c>
      <c r="AS9">
        <f>MacroData[[#This Row],[Headline_Inflation]]</f>
        <v>6.54</v>
      </c>
      <c r="AT9">
        <f>MacroData[[#This Row],[Core_Inflation]]</f>
        <v>5.8</v>
      </c>
      <c r="AU9">
        <f>MacroData[[#This Row],[Food_Inflation]]</f>
        <v>9.5</v>
      </c>
      <c r="AV9">
        <f>MacroData[[#This Row],[Non_Food_Inflation]]</f>
        <v>5.4</v>
      </c>
      <c r="AW9">
        <f>MacroData[[#This Row],[PPI]]</f>
        <v>10</v>
      </c>
      <c r="BB9" s="72">
        <f>MacroData[[#This Row],[Year]]</f>
        <v>2006</v>
      </c>
      <c r="BC9">
        <f>MacroData[[#This Row],[Unemployment_Rate]]</f>
        <v>7.03</v>
      </c>
      <c r="BD9">
        <f>MacroData[[#This Row],[Labour_Force_Part_Rate]]</f>
        <v>40.9</v>
      </c>
      <c r="BE9">
        <f>MacroData[[#This Row],[Female_LFPR]]</f>
        <v>48.47</v>
      </c>
      <c r="BF9">
        <f>INDEX(MacroData[Male_Wage_Growth],
MATCH(Control!A11, MacroData[Year],0))</f>
        <v>89.27</v>
      </c>
      <c r="BG9">
        <f>INDEX(MacroData[Female_Wage_Growth],
MATCH(Control!A11, MacroData[Year],0))</f>
        <v>83.62</v>
      </c>
      <c r="BH9" s="82">
        <f>INDEX(MacroData[Male_Wage_Growth],
MATCH(Control!A11, MacroData[Year],0))
-
INDEX(MacroData[Female_Wage_Growth],
MATCH(Control!A11, MacroData[Year],0))</f>
        <v>5.6499999999999915</v>
      </c>
      <c r="BJ9" s="72">
        <f>MacroData[[#This Row],[Year]]</f>
        <v>2006</v>
      </c>
      <c r="BK9">
        <f>MacroData[[#This Row],[Exports]]</f>
        <v>41.95</v>
      </c>
      <c r="BL9">
        <f>MacroData[[#This Row],[Imports]]</f>
        <v>105.7</v>
      </c>
      <c r="BM9">
        <f>MacroData[[#This Row],[Exchange_Rate_Movement]]</f>
        <v>0.56000000000000005</v>
      </c>
      <c r="BN9">
        <f>MacroData[[#This Row],[FDI]]</f>
        <v>8.35</v>
      </c>
      <c r="BO9" s="82">
        <f>Table5[[#This Row],[Exports]] - Table5[[#This Row],[Imports]]</f>
        <v>-63.75</v>
      </c>
      <c r="BS9" s="72">
        <f>MacroData[[#This Row],[Year]]</f>
        <v>2006</v>
      </c>
      <c r="BT9">
        <f>MacroData[[#This Row],[Gov_Expenditure]]</f>
        <v>35.5</v>
      </c>
      <c r="BU9">
        <f>MacroData[[#This Row],[Budget_Deficit]]</f>
        <v>-0.5</v>
      </c>
      <c r="BV9">
        <f>MacroData[[#This Row],[Public_Debt]]</f>
        <v>10.7</v>
      </c>
      <c r="BW9">
        <f>MacroData[[#This Row],[Revenue_Taxation]]</f>
        <v>25</v>
      </c>
    </row>
    <row r="10" spans="1:77" x14ac:dyDescent="0.3">
      <c r="A10" s="74">
        <v>2007</v>
      </c>
      <c r="B10" s="2" t="str">
        <f t="shared" si="0"/>
        <v>07</v>
      </c>
      <c r="C10" s="2">
        <f t="shared" si="1"/>
        <v>0.52359999999999995</v>
      </c>
      <c r="D10">
        <f>GETPIVOTDATA(""&amp;D$1,Control!$W$3,"Year",""&amp;$A10)</f>
        <v>10.41</v>
      </c>
      <c r="E10">
        <f>GETPIVOTDATA(""&amp;E$1,Control!$W$3,"Year",""&amp;$A10)</f>
        <v>11.03</v>
      </c>
      <c r="F10" s="2">
        <f t="shared" si="2"/>
        <v>0.52359999999999995</v>
      </c>
      <c r="G10">
        <f>IFERROR(GETPIVOTDATA(""&amp;D$1,Control!$B$3,"Year",""&amp;$A10),NA())</f>
        <v>10.41</v>
      </c>
      <c r="H10">
        <f>IFERROR(GETPIVOTDATA(""&amp;E$1,Control!$B$3,"Year",""&amp;$A10),NA())</f>
        <v>11.03</v>
      </c>
      <c r="I10">
        <f t="shared" si="3"/>
        <v>10.9336</v>
      </c>
      <c r="J10" t="str">
        <f t="shared" si="4"/>
        <v>10</v>
      </c>
      <c r="L10">
        <f>GETPIVOTDATA(""&amp;L$1,Control!$B$36,"Year",""&amp;$A10)</f>
        <v>88.94</v>
      </c>
      <c r="M10">
        <f>GETPIVOTDATA(""&amp;M$1,Control!$B$36,"Year",""&amp;$A10)</f>
        <v>84.17</v>
      </c>
      <c r="N10" s="6">
        <f t="shared" si="5"/>
        <v>0.51377736699208587</v>
      </c>
      <c r="T10">
        <f>GETPIVOTDATA(""&amp;T$1,Control!$B$66,"Year",""&amp;$A10)</f>
        <v>40.39</v>
      </c>
      <c r="U10">
        <f>GETPIVOTDATA(""&amp;U$1,Control!$C$66,"Year",""&amp;$A10)</f>
        <v>100.88</v>
      </c>
      <c r="V10" s="6">
        <f t="shared" si="6"/>
        <v>0.28590642032986485</v>
      </c>
      <c r="AB10">
        <v>3.03</v>
      </c>
      <c r="AC10">
        <v>20.059999999999999</v>
      </c>
      <c r="AD10">
        <v>76.010000000000005</v>
      </c>
      <c r="AJ10" s="72">
        <f>MacroData[[#This Row],[Year]]</f>
        <v>2007</v>
      </c>
      <c r="AK10">
        <f>MacroData[[#This Row],[Policy_Interest_Rate]]</f>
        <v>8.5</v>
      </c>
      <c r="AL10">
        <f>MacroData[[#This Row],[Market_Interest_Rate]]</f>
        <v>8.5</v>
      </c>
      <c r="AN10">
        <v>2008</v>
      </c>
      <c r="AO10">
        <v>-2</v>
      </c>
      <c r="AR10" s="72">
        <f>MacroData[[#This Row],[Year]]</f>
        <v>2007</v>
      </c>
      <c r="AS10">
        <f>MacroData[[#This Row],[Headline_Inflation]]</f>
        <v>10.09</v>
      </c>
      <c r="AT10">
        <f>MacroData[[#This Row],[Core_Inflation]]</f>
        <v>9</v>
      </c>
      <c r="AU10">
        <f>MacroData[[#This Row],[Food_Inflation]]</f>
        <v>12.3</v>
      </c>
      <c r="AV10">
        <f>MacroData[[#This Row],[Non_Food_Inflation]]</f>
        <v>9.1</v>
      </c>
      <c r="AW10">
        <f>MacroData[[#This Row],[PPI]]</f>
        <v>15</v>
      </c>
      <c r="BB10" s="72">
        <f>MacroData[[#This Row],[Year]]</f>
        <v>2007</v>
      </c>
      <c r="BC10">
        <f>MacroData[[#This Row],[Unemployment_Rate]]</f>
        <v>6.05</v>
      </c>
      <c r="BD10">
        <f>MacroData[[#This Row],[Labour_Force_Part_Rate]]</f>
        <v>42.64</v>
      </c>
      <c r="BE10">
        <f>MacroData[[#This Row],[Female_LFPR]]</f>
        <v>48.29</v>
      </c>
      <c r="BF10">
        <f>INDEX(MacroData[Male_Wage_Growth],
MATCH(Control!A12, MacroData[Year],0))</f>
        <v>89.24</v>
      </c>
      <c r="BG10">
        <f>INDEX(MacroData[Female_Wage_Growth],
MATCH(Control!A12, MacroData[Year],0))</f>
        <v>83.52</v>
      </c>
      <c r="BH10" s="82">
        <f>INDEX(MacroData[Male_Wage_Growth],
MATCH(Control!A12, MacroData[Year],0))
-
INDEX(MacroData[Female_Wage_Growth],
MATCH(Control!A12, MacroData[Year],0))</f>
        <v>5.7199999999999989</v>
      </c>
      <c r="BJ10" s="72">
        <f>MacroData[[#This Row],[Year]]</f>
        <v>2007</v>
      </c>
      <c r="BK10">
        <f>MacroData[[#This Row],[Exports]]</f>
        <v>40.39</v>
      </c>
      <c r="BL10">
        <f>MacroData[[#This Row],[Imports]]</f>
        <v>100.88</v>
      </c>
      <c r="BM10">
        <f>MacroData[[#This Row],[Exchange_Rate_Movement]]</f>
        <v>0.51</v>
      </c>
      <c r="BN10">
        <f>MacroData[[#This Row],[FDI]]</f>
        <v>9.2200000000000006</v>
      </c>
      <c r="BO10" s="82">
        <f>Table5[[#This Row],[Exports]] - Table5[[#This Row],[Imports]]</f>
        <v>-60.489999999999995</v>
      </c>
      <c r="BS10" s="72">
        <f>MacroData[[#This Row],[Year]]</f>
        <v>2007</v>
      </c>
      <c r="BT10">
        <f>MacroData[[#This Row],[Gov_Expenditure]]</f>
        <v>34.799999999999997</v>
      </c>
      <c r="BU10">
        <f>MacroData[[#This Row],[Budget_Deficit]]</f>
        <v>0.6</v>
      </c>
      <c r="BV10">
        <f>MacroData[[#This Row],[Public_Debt]]</f>
        <v>9</v>
      </c>
      <c r="BW10">
        <f>MacroData[[#This Row],[Revenue_Taxation]]</f>
        <v>26</v>
      </c>
    </row>
    <row r="11" spans="1:77" x14ac:dyDescent="0.3">
      <c r="A11" s="75">
        <v>2008</v>
      </c>
      <c r="B11" s="2" t="str">
        <f t="shared" si="0"/>
        <v>08</v>
      </c>
      <c r="C11" s="2">
        <f t="shared" si="1"/>
        <v>0.52359999999999995</v>
      </c>
      <c r="D11">
        <f>GETPIVOTDATA(""&amp;D$1,Control!$W$3,"Year",""&amp;$A11)</f>
        <v>-3.39</v>
      </c>
      <c r="E11">
        <f>GETPIVOTDATA(""&amp;E$1,Control!$W$3,"Year",""&amp;$A11)</f>
        <v>-2.04</v>
      </c>
      <c r="F11" s="2">
        <f t="shared" si="2"/>
        <v>0.52359999999999995</v>
      </c>
      <c r="G11">
        <f>IFERROR(GETPIVOTDATA(""&amp;D$1,Control!$B$3,"Year",""&amp;$A11),NA())</f>
        <v>-3.39</v>
      </c>
      <c r="H11">
        <f>IFERROR(GETPIVOTDATA(""&amp;E$1,Control!$B$3,"Year",""&amp;$A11),NA())</f>
        <v>-2.04</v>
      </c>
      <c r="I11">
        <f t="shared" si="3"/>
        <v>-2.8664000000000001</v>
      </c>
      <c r="J11">
        <f t="shared" si="4"/>
        <v>-3.39</v>
      </c>
      <c r="L11">
        <f>GETPIVOTDATA(""&amp;L$1,Control!$B$36,"Year",""&amp;$A11)</f>
        <v>89.88</v>
      </c>
      <c r="M11">
        <f>GETPIVOTDATA(""&amp;M$1,Control!$B$36,"Year",""&amp;$A11)</f>
        <v>84.36</v>
      </c>
      <c r="N11" s="6">
        <f t="shared" si="5"/>
        <v>0.5158402203856749</v>
      </c>
      <c r="T11">
        <f>GETPIVOTDATA(""&amp;T$1,Control!$B$66,"Year",""&amp;$A11)</f>
        <v>41.23</v>
      </c>
      <c r="U11">
        <f>GETPIVOTDATA(""&amp;U$1,Control!$C$66,"Year",""&amp;$A11)</f>
        <v>95.77</v>
      </c>
      <c r="V11" s="6">
        <f t="shared" si="6"/>
        <v>0.30094890510948902</v>
      </c>
      <c r="AB11">
        <v>3.01</v>
      </c>
      <c r="AC11">
        <v>20.079999999999998</v>
      </c>
      <c r="AD11">
        <v>76.010000000000005</v>
      </c>
      <c r="AG11" t="s">
        <v>112</v>
      </c>
      <c r="AH11">
        <f>INDEX(MacroData[Policy_Interest_Rate],
MATCH(Control!A4, MacroData[Year],0))</f>
        <v>5.5</v>
      </c>
      <c r="AJ11" s="72">
        <f>MacroData[[#This Row],[Year]]</f>
        <v>2008</v>
      </c>
      <c r="AK11">
        <f>MacroData[[#This Row],[Policy_Interest_Rate]]</f>
        <v>11.4</v>
      </c>
      <c r="AL11">
        <f>MacroData[[#This Row],[Market_Interest_Rate]]</f>
        <v>11.4</v>
      </c>
      <c r="AN11">
        <v>2009</v>
      </c>
      <c r="AO11">
        <v>-5</v>
      </c>
      <c r="AR11" s="72">
        <f>MacroData[[#This Row],[Year]]</f>
        <v>2008</v>
      </c>
      <c r="AS11">
        <f>MacroData[[#This Row],[Headline_Inflation]]</f>
        <v>15.04</v>
      </c>
      <c r="AT11">
        <f>MacroData[[#This Row],[Core_Inflation]]</f>
        <v>13.5</v>
      </c>
      <c r="AU11">
        <f>MacroData[[#This Row],[Food_Inflation]]</f>
        <v>19.5</v>
      </c>
      <c r="AV11">
        <f>MacroData[[#This Row],[Non_Food_Inflation]]</f>
        <v>13.1</v>
      </c>
      <c r="AW11">
        <f>MacroData[[#This Row],[PPI]]</f>
        <v>12</v>
      </c>
      <c r="BB11" s="72">
        <f>MacroData[[#This Row],[Year]]</f>
        <v>2008</v>
      </c>
      <c r="BC11">
        <f>MacroData[[#This Row],[Unemployment_Rate]]</f>
        <v>7.74</v>
      </c>
      <c r="BD11">
        <f>MacroData[[#This Row],[Labour_Force_Part_Rate]]</f>
        <v>42.87</v>
      </c>
      <c r="BE11">
        <f>MacroData[[#This Row],[Female_LFPR]]</f>
        <v>48.98</v>
      </c>
      <c r="BF11">
        <f>INDEX(MacroData[Male_Wage_Growth],
MATCH(Control!A13, MacroData[Year],0))</f>
        <v>89.28</v>
      </c>
      <c r="BG11">
        <f>INDEX(MacroData[Female_Wage_Growth],
MATCH(Control!A13, MacroData[Year],0))</f>
        <v>83.41</v>
      </c>
      <c r="BH11" s="82">
        <f>INDEX(MacroData[Male_Wage_Growth],
MATCH(Control!A13, MacroData[Year],0))
-
INDEX(MacroData[Female_Wage_Growth],
MATCH(Control!A13, MacroData[Year],0))</f>
        <v>5.8700000000000045</v>
      </c>
      <c r="BJ11" s="72">
        <f>MacroData[[#This Row],[Year]]</f>
        <v>2008</v>
      </c>
      <c r="BK11">
        <f>MacroData[[#This Row],[Exports]]</f>
        <v>41.23</v>
      </c>
      <c r="BL11">
        <f>MacroData[[#This Row],[Imports]]</f>
        <v>95.77</v>
      </c>
      <c r="BM11">
        <f>MacroData[[#This Row],[Exchange_Rate_Movement]]</f>
        <v>0.48</v>
      </c>
      <c r="BN11">
        <f>MacroData[[#This Row],[FDI]]</f>
        <v>4.2</v>
      </c>
      <c r="BO11" s="82">
        <f>Table5[[#This Row],[Exports]] - Table5[[#This Row],[Imports]]</f>
        <v>-54.54</v>
      </c>
      <c r="BS11" s="72">
        <f>MacroData[[#This Row],[Year]]</f>
        <v>2008</v>
      </c>
      <c r="BT11">
        <f>MacroData[[#This Row],[Gov_Expenditure]]</f>
        <v>38.200000000000003</v>
      </c>
      <c r="BU11">
        <f>MacroData[[#This Row],[Budget_Deficit]]</f>
        <v>-3.3</v>
      </c>
      <c r="BV11">
        <f>MacroData[[#This Row],[Public_Debt]]</f>
        <v>19.3</v>
      </c>
      <c r="BW11">
        <f>MacroData[[#This Row],[Revenue_Taxation]]</f>
        <v>26</v>
      </c>
    </row>
    <row r="12" spans="1:77" x14ac:dyDescent="0.3">
      <c r="A12" s="74">
        <v>2009</v>
      </c>
      <c r="B12" s="2" t="str">
        <f t="shared" si="0"/>
        <v>09</v>
      </c>
      <c r="C12" s="2">
        <f t="shared" si="1"/>
        <v>0.52359999999999995</v>
      </c>
      <c r="D12">
        <f>GETPIVOTDATA(""&amp;D$1,Control!$W$3,"Year",""&amp;$A12)</f>
        <v>-16.04</v>
      </c>
      <c r="E12">
        <f>GETPIVOTDATA(""&amp;E$1,Control!$W$3,"Year",""&amp;$A12)</f>
        <v>-14.06</v>
      </c>
      <c r="F12" s="2">
        <f t="shared" si="2"/>
        <v>0.52359999999999995</v>
      </c>
      <c r="G12">
        <f>IFERROR(GETPIVOTDATA(""&amp;D$1,Control!$B$3,"Year",""&amp;$A12),NA())</f>
        <v>-16.04</v>
      </c>
      <c r="H12">
        <f>IFERROR(GETPIVOTDATA(""&amp;E$1,Control!$B$3,"Year",""&amp;$A12),NA())</f>
        <v>-14.06</v>
      </c>
      <c r="I12">
        <f t="shared" si="3"/>
        <v>-15.516399999999999</v>
      </c>
      <c r="J12">
        <f t="shared" si="4"/>
        <v>-16.04</v>
      </c>
      <c r="L12">
        <f>GETPIVOTDATA(""&amp;L$1,Control!$B$36,"Year",""&amp;$A12)</f>
        <v>89.25</v>
      </c>
      <c r="M12">
        <f>GETPIVOTDATA(""&amp;M$1,Control!$B$36,"Year",""&amp;$A12)</f>
        <v>83.54</v>
      </c>
      <c r="N12" s="6">
        <f t="shared" si="5"/>
        <v>0.51652294692979916</v>
      </c>
      <c r="T12">
        <f>GETPIVOTDATA(""&amp;T$1,Control!$B$66,"Year",""&amp;$A12)</f>
        <v>43.4</v>
      </c>
      <c r="U12">
        <f>GETPIVOTDATA(""&amp;U$1,Control!$C$66,"Year",""&amp;$A12)</f>
        <v>88.83</v>
      </c>
      <c r="V12" s="6">
        <f t="shared" si="6"/>
        <v>0.32821598729486501</v>
      </c>
      <c r="AB12">
        <v>3.04</v>
      </c>
      <c r="AC12">
        <v>20.02</v>
      </c>
      <c r="AD12">
        <v>76.040000000000006</v>
      </c>
      <c r="AG12" t="s">
        <v>113</v>
      </c>
      <c r="AH12">
        <f>INDEX(MacroData[Money_Supply],
MATCH(Control!A4, MacroData[Year],0))</f>
        <v>38</v>
      </c>
      <c r="AJ12" s="72">
        <f>MacroData[[#This Row],[Year]]</f>
        <v>2009</v>
      </c>
      <c r="AK12">
        <f>MacroData[[#This Row],[Policy_Interest_Rate]]</f>
        <v>14.8</v>
      </c>
      <c r="AL12">
        <f>MacroData[[#This Row],[Market_Interest_Rate]]</f>
        <v>14.8</v>
      </c>
      <c r="AN12">
        <v>2010</v>
      </c>
      <c r="AO12">
        <v>7</v>
      </c>
      <c r="AR12" s="72">
        <f>MacroData[[#This Row],[Year]]</f>
        <v>2009</v>
      </c>
      <c r="AS12">
        <f>MacroData[[#This Row],[Headline_Inflation]]</f>
        <v>3.53</v>
      </c>
      <c r="AT12">
        <f>MacroData[[#This Row],[Core_Inflation]]</f>
        <v>3.8</v>
      </c>
      <c r="AU12">
        <f>MacroData[[#This Row],[Food_Inflation]]</f>
        <v>2.1</v>
      </c>
      <c r="AV12">
        <f>MacroData[[#This Row],[Non_Food_Inflation]]</f>
        <v>1.4</v>
      </c>
      <c r="AW12">
        <f>MacroData[[#This Row],[PPI]]</f>
        <v>-3.5</v>
      </c>
      <c r="BB12" s="72">
        <f>MacroData[[#This Row],[Year]]</f>
        <v>2009</v>
      </c>
      <c r="BC12">
        <f>MacroData[[#This Row],[Unemployment_Rate]]</f>
        <v>17.52</v>
      </c>
      <c r="BD12">
        <f>MacroData[[#This Row],[Labour_Force_Part_Rate]]</f>
        <v>41.25</v>
      </c>
      <c r="BE12">
        <f>MacroData[[#This Row],[Female_LFPR]]</f>
        <v>49.8</v>
      </c>
      <c r="BF12" t="e">
        <f>INDEX(MacroData[Male_Wage_Growth],
MATCH(Control!A14, MacroData[Year],0))</f>
        <v>#N/A</v>
      </c>
      <c r="BG12" t="e">
        <f>INDEX(MacroData[Female_Wage_Growth],
MATCH(Control!A14, MacroData[Year],0))</f>
        <v>#N/A</v>
      </c>
      <c r="BH12" s="82" t="e">
        <f>INDEX(MacroData[Male_Wage_Growth],
MATCH(Control!A14, MacroData[Year],0))
-
INDEX(MacroData[Female_Wage_Growth],
MATCH(Control!A14, MacroData[Year],0))</f>
        <v>#N/A</v>
      </c>
      <c r="BJ12" s="72">
        <f>MacroData[[#This Row],[Year]]</f>
        <v>2009</v>
      </c>
      <c r="BK12">
        <f>MacroData[[#This Row],[Exports]]</f>
        <v>43.4</v>
      </c>
      <c r="BL12">
        <f>MacroData[[#This Row],[Imports]]</f>
        <v>88.83</v>
      </c>
      <c r="BM12">
        <f>MacroData[[#This Row],[Exchange_Rate_Movement]]</f>
        <v>0.51</v>
      </c>
      <c r="BN12">
        <f>MacroData[[#This Row],[FDI]]</f>
        <v>-0.57999999999999996</v>
      </c>
      <c r="BO12" s="82">
        <f>Table5[[#This Row],[Exports]] - Table5[[#This Row],[Imports]]</f>
        <v>-45.43</v>
      </c>
      <c r="BS12" s="72">
        <f>MacroData[[#This Row],[Year]]</f>
        <v>2009</v>
      </c>
      <c r="BT12">
        <f>MacroData[[#This Row],[Gov_Expenditure]]</f>
        <v>43.6</v>
      </c>
      <c r="BU12">
        <f>MacroData[[#This Row],[Budget_Deficit]]</f>
        <v>-7.1</v>
      </c>
      <c r="BV12">
        <f>MacroData[[#This Row],[Public_Debt]]</f>
        <v>37.6</v>
      </c>
      <c r="BW12">
        <f>MacroData[[#This Row],[Revenue_Taxation]]</f>
        <v>24</v>
      </c>
    </row>
    <row r="13" spans="1:77" x14ac:dyDescent="0.3">
      <c r="A13" s="75">
        <v>2010</v>
      </c>
      <c r="B13" s="2" t="str">
        <f t="shared" si="0"/>
        <v>10</v>
      </c>
      <c r="C13" s="2">
        <f t="shared" si="1"/>
        <v>0.52359999999999995</v>
      </c>
      <c r="D13">
        <f>GETPIVOTDATA(""&amp;D$1,Control!$W$3,"Year",""&amp;$A13)</f>
        <v>-3.66</v>
      </c>
      <c r="E13">
        <f>GETPIVOTDATA(""&amp;E$1,Control!$W$3,"Year",""&amp;$A13)</f>
        <v>-1.06</v>
      </c>
      <c r="F13" s="2">
        <f t="shared" si="2"/>
        <v>0.52359999999999995</v>
      </c>
      <c r="G13">
        <f>IFERROR(GETPIVOTDATA(""&amp;D$1,Control!$B$3,"Year",""&amp;$A13),NA())</f>
        <v>-3.66</v>
      </c>
      <c r="H13">
        <f>IFERROR(GETPIVOTDATA(""&amp;E$1,Control!$B$3,"Year",""&amp;$A13),NA())</f>
        <v>-1.06</v>
      </c>
      <c r="I13">
        <f t="shared" si="3"/>
        <v>-3.1364000000000001</v>
      </c>
      <c r="J13">
        <f t="shared" si="4"/>
        <v>-3.66</v>
      </c>
      <c r="L13">
        <f>GETPIVOTDATA(""&amp;L$1,Control!$B$36,"Year",""&amp;$A13)</f>
        <v>88.88</v>
      </c>
      <c r="M13">
        <f>GETPIVOTDATA(""&amp;M$1,Control!$B$36,"Year",""&amp;$A13)</f>
        <v>83.57</v>
      </c>
      <c r="N13" s="6">
        <f t="shared" si="5"/>
        <v>0.51539576688895328</v>
      </c>
      <c r="T13">
        <f>GETPIVOTDATA(""&amp;T$1,Control!$B$66,"Year",""&amp;$A13)</f>
        <v>54.37</v>
      </c>
      <c r="U13">
        <f>GETPIVOTDATA(""&amp;U$1,Control!$C$66,"Year",""&amp;$A13)</f>
        <v>110.86</v>
      </c>
      <c r="V13" s="6">
        <f t="shared" si="6"/>
        <v>0.3290564667433275</v>
      </c>
      <c r="AB13">
        <v>4.01</v>
      </c>
      <c r="AC13">
        <v>22.06</v>
      </c>
      <c r="AD13">
        <v>73.03</v>
      </c>
      <c r="AG13" t="s">
        <v>114</v>
      </c>
      <c r="AH13">
        <f>INDEX(MacroData[Credit_Growth],
MATCH(Control!A4, MacroData[Year],0))</f>
        <v>62.7</v>
      </c>
      <c r="AJ13" s="72">
        <f>MacroData[[#This Row],[Year]]</f>
        <v>2010</v>
      </c>
      <c r="AK13">
        <f>MacroData[[#This Row],[Policy_Interest_Rate]]</f>
        <v>9.1999999999999993</v>
      </c>
      <c r="AL13">
        <f>MacroData[[#This Row],[Market_Interest_Rate]]</f>
        <v>9.1999999999999993</v>
      </c>
      <c r="AN13">
        <v>2011</v>
      </c>
      <c r="AO13">
        <v>2</v>
      </c>
      <c r="AR13" s="72">
        <f>MacroData[[#This Row],[Year]]</f>
        <v>2010</v>
      </c>
      <c r="AS13">
        <f>MacroData[[#This Row],[Headline_Inflation]]</f>
        <v>-1.08</v>
      </c>
      <c r="AT13">
        <f>MacroData[[#This Row],[Core_Inflation]]</f>
        <v>-2.5</v>
      </c>
      <c r="AU13">
        <f>MacroData[[#This Row],[Food_Inflation]]</f>
        <v>1</v>
      </c>
      <c r="AV13">
        <f>MacroData[[#This Row],[Non_Food_Inflation]]</f>
        <v>-2.2000000000000002</v>
      </c>
      <c r="AW13">
        <f>MacroData[[#This Row],[PPI]]</f>
        <v>1.4</v>
      </c>
      <c r="BB13" s="72">
        <f>MacroData[[#This Row],[Year]]</f>
        <v>2010</v>
      </c>
      <c r="BC13">
        <f>MacroData[[#This Row],[Unemployment_Rate]]</f>
        <v>19.48</v>
      </c>
      <c r="BD13">
        <f>MacroData[[#This Row],[Labour_Force_Part_Rate]]</f>
        <v>39.75</v>
      </c>
      <c r="BE13">
        <f>MacroData[[#This Row],[Female_LFPR]]</f>
        <v>50.39</v>
      </c>
      <c r="BF13" t="e">
        <f>INDEX(MacroData[Male_Wage_Growth],
MATCH(Control!A15, MacroData[Year],0))</f>
        <v>#N/A</v>
      </c>
      <c r="BG13" t="e">
        <f>INDEX(MacroData[Female_Wage_Growth],
MATCH(Control!A15, MacroData[Year],0))</f>
        <v>#N/A</v>
      </c>
      <c r="BH13" s="82" t="e">
        <f>INDEX(MacroData[Male_Wage_Growth],
MATCH(Control!A15, MacroData[Year],0))
-
INDEX(MacroData[Female_Wage_Growth],
MATCH(Control!A15, MacroData[Year],0))</f>
        <v>#N/A</v>
      </c>
      <c r="BJ13" s="72">
        <f>MacroData[[#This Row],[Year]]</f>
        <v>2010</v>
      </c>
      <c r="BK13">
        <f>MacroData[[#This Row],[Exports]]</f>
        <v>54.37</v>
      </c>
      <c r="BL13">
        <f>MacroData[[#This Row],[Imports]]</f>
        <v>110.86</v>
      </c>
      <c r="BM13">
        <f>MacroData[[#This Row],[Exchange_Rate_Movement]]</f>
        <v>0.53</v>
      </c>
      <c r="BN13">
        <f>MacroData[[#This Row],[FDI]]</f>
        <v>2.02</v>
      </c>
      <c r="BO13" s="82">
        <f>Table5[[#This Row],[Exports]] - Table5[[#This Row],[Imports]]</f>
        <v>-56.49</v>
      </c>
      <c r="BS13" s="72">
        <f>MacroData[[#This Row],[Year]]</f>
        <v>2010</v>
      </c>
      <c r="BT13">
        <f>MacroData[[#This Row],[Gov_Expenditure]]</f>
        <v>43.6</v>
      </c>
      <c r="BU13">
        <f>MacroData[[#This Row],[Budget_Deficit]]</f>
        <v>-6.6</v>
      </c>
      <c r="BV13">
        <f>MacroData[[#This Row],[Public_Debt]]</f>
        <v>48.2</v>
      </c>
      <c r="BW13">
        <f>MacroData[[#This Row],[Revenue_Taxation]]</f>
        <v>23</v>
      </c>
    </row>
    <row r="14" spans="1:77" x14ac:dyDescent="0.3">
      <c r="A14" s="74">
        <v>2011</v>
      </c>
      <c r="B14" s="2" t="str">
        <f t="shared" si="0"/>
        <v>11</v>
      </c>
      <c r="C14" s="2">
        <f t="shared" si="1"/>
        <v>0.52359999999999995</v>
      </c>
      <c r="D14">
        <f>GETPIVOTDATA(""&amp;D$1,Control!$W$3,"Year",""&amp;$A14)</f>
        <v>3.04</v>
      </c>
      <c r="E14">
        <f>GETPIVOTDATA(""&amp;E$1,Control!$W$3,"Year",""&amp;$A14)</f>
        <v>4.09</v>
      </c>
      <c r="F14" s="2">
        <f t="shared" si="2"/>
        <v>0.52359999999999995</v>
      </c>
      <c r="G14">
        <f>IFERROR(GETPIVOTDATA(""&amp;D$1,Control!$B$3,"Year",""&amp;$A14),NA())</f>
        <v>3.04</v>
      </c>
      <c r="H14">
        <f>IFERROR(GETPIVOTDATA(""&amp;E$1,Control!$B$3,"Year",""&amp;$A14),NA())</f>
        <v>4.09</v>
      </c>
      <c r="I14">
        <f t="shared" si="3"/>
        <v>3.5636000000000001</v>
      </c>
      <c r="J14" t="str">
        <f t="shared" si="4"/>
        <v>3</v>
      </c>
      <c r="L14">
        <f>GETPIVOTDATA(""&amp;L$1,Control!$B$36,"Year",""&amp;$A14)</f>
        <v>89.02</v>
      </c>
      <c r="M14">
        <f>GETPIVOTDATA(""&amp;M$1,Control!$B$36,"Year",""&amp;$A14)</f>
        <v>83.66</v>
      </c>
      <c r="N14" s="6">
        <f t="shared" si="5"/>
        <v>0.51552003706277505</v>
      </c>
      <c r="T14">
        <f>GETPIVOTDATA(""&amp;T$1,Control!$B$66,"Year",""&amp;$A14)</f>
        <v>61.8</v>
      </c>
      <c r="U14">
        <f>GETPIVOTDATA(""&amp;U$1,Control!$C$66,"Year",""&amp;$A14)</f>
        <v>129.72999999999999</v>
      </c>
      <c r="V14" s="6">
        <f t="shared" si="6"/>
        <v>0.32266485668041561</v>
      </c>
      <c r="AB14">
        <v>4.03</v>
      </c>
      <c r="AC14">
        <v>24</v>
      </c>
      <c r="AD14">
        <v>71.069999999999993</v>
      </c>
      <c r="AJ14" s="72">
        <f>MacroData[[#This Row],[Year]]</f>
        <v>2011</v>
      </c>
      <c r="AK14">
        <f>MacroData[[#This Row],[Policy_Interest_Rate]]</f>
        <v>6.4</v>
      </c>
      <c r="AL14">
        <f>MacroData[[#This Row],[Market_Interest_Rate]]</f>
        <v>6.4</v>
      </c>
      <c r="AN14">
        <v>2012</v>
      </c>
      <c r="AO14">
        <v>6</v>
      </c>
      <c r="AR14" s="72">
        <f>MacroData[[#This Row],[Year]]</f>
        <v>2011</v>
      </c>
      <c r="AS14">
        <f>MacroData[[#This Row],[Headline_Inflation]]</f>
        <v>4.37</v>
      </c>
      <c r="AT14">
        <f>MacroData[[#This Row],[Core_Inflation]]</f>
        <v>2.6</v>
      </c>
      <c r="AU14">
        <f>MacroData[[#This Row],[Food_Inflation]]</f>
        <v>7.9</v>
      </c>
      <c r="AV14">
        <f>MacroData[[#This Row],[Non_Food_Inflation]]</f>
        <v>4.0999999999999996</v>
      </c>
      <c r="AW14">
        <f>MacroData[[#This Row],[PPI]]</f>
        <v>8.1999999999999993</v>
      </c>
      <c r="BB14" s="72">
        <f>MacroData[[#This Row],[Year]]</f>
        <v>2011</v>
      </c>
      <c r="BC14">
        <f>MacroData[[#This Row],[Unemployment_Rate]]</f>
        <v>16.21</v>
      </c>
      <c r="BD14">
        <f>MacroData[[#This Row],[Labour_Force_Part_Rate]]</f>
        <v>37.479999999999997</v>
      </c>
      <c r="BE14">
        <f>MacroData[[#This Row],[Female_LFPR]]</f>
        <v>49.94</v>
      </c>
      <c r="BF14" t="e">
        <f>INDEX(MacroData[Male_Wage_Growth],
MATCH(Control!A16, MacroData[Year],0))</f>
        <v>#N/A</v>
      </c>
      <c r="BG14" t="e">
        <f>INDEX(MacroData[Female_Wage_Growth],
MATCH(Control!A16, MacroData[Year],0))</f>
        <v>#N/A</v>
      </c>
      <c r="BH14" s="82" t="e">
        <f>INDEX(MacroData[Male_Wage_Growth],
MATCH(Control!A16, MacroData[Year],0))
-
INDEX(MacroData[Female_Wage_Growth],
MATCH(Control!A16, MacroData[Year],0))</f>
        <v>#N/A</v>
      </c>
      <c r="BJ14" s="72">
        <f>MacroData[[#This Row],[Year]]</f>
        <v>2011</v>
      </c>
      <c r="BK14">
        <f>MacroData[[#This Row],[Exports]]</f>
        <v>61.8</v>
      </c>
      <c r="BL14">
        <f>MacroData[[#This Row],[Imports]]</f>
        <v>129.72999999999999</v>
      </c>
      <c r="BM14">
        <f>MacroData[[#This Row],[Exchange_Rate_Movement]]</f>
        <v>0.51</v>
      </c>
      <c r="BN14">
        <f>MacroData[[#This Row],[FDI]]</f>
        <v>5.72</v>
      </c>
      <c r="BO14" s="82">
        <f>Table5[[#This Row],[Exports]] - Table5[[#This Row],[Imports]]</f>
        <v>-67.929999999999993</v>
      </c>
      <c r="BS14" s="72">
        <f>MacroData[[#This Row],[Year]]</f>
        <v>2011</v>
      </c>
      <c r="BT14">
        <f>MacroData[[#This Row],[Gov_Expenditure]]</f>
        <v>41.2</v>
      </c>
      <c r="BU14">
        <f>MacroData[[#This Row],[Budget_Deficit]]</f>
        <v>-3.4</v>
      </c>
      <c r="BV14">
        <f>MacroData[[#This Row],[Public_Debt]]</f>
        <v>46.8</v>
      </c>
      <c r="BW14">
        <f>MacroData[[#This Row],[Revenue_Taxation]]</f>
        <v>24</v>
      </c>
    </row>
    <row r="15" spans="1:77" x14ac:dyDescent="0.3">
      <c r="A15" s="75">
        <v>2012</v>
      </c>
      <c r="B15" s="2" t="str">
        <f t="shared" si="0"/>
        <v>12</v>
      </c>
      <c r="C15" s="2">
        <f t="shared" si="1"/>
        <v>0.52359999999999995</v>
      </c>
      <c r="D15">
        <f>GETPIVOTDATA(""&amp;D$1,Control!$W$3,"Year",""&amp;$A15)</f>
        <v>7.31</v>
      </c>
      <c r="E15">
        <f>GETPIVOTDATA(""&amp;E$1,Control!$W$3,"Year",""&amp;$A15)</f>
        <v>8.06</v>
      </c>
      <c r="F15" s="2">
        <f t="shared" si="2"/>
        <v>0.52359999999999995</v>
      </c>
      <c r="G15">
        <f>IFERROR(GETPIVOTDATA(""&amp;D$1,Control!$B$3,"Year",""&amp;$A15),NA())</f>
        <v>7.31</v>
      </c>
      <c r="H15">
        <f>IFERROR(GETPIVOTDATA(""&amp;E$1,Control!$B$3,"Year",""&amp;$A15),NA())</f>
        <v>8.06</v>
      </c>
      <c r="I15">
        <f t="shared" si="3"/>
        <v>7.8335999999999997</v>
      </c>
      <c r="J15" t="str">
        <f t="shared" si="4"/>
        <v>7</v>
      </c>
      <c r="L15">
        <f>GETPIVOTDATA(""&amp;L$1,Control!$B$36,"Year",""&amp;$A15)</f>
        <v>89.27</v>
      </c>
      <c r="M15">
        <f>GETPIVOTDATA(""&amp;M$1,Control!$B$36,"Year",""&amp;$A15)</f>
        <v>83.62</v>
      </c>
      <c r="N15" s="6">
        <f t="shared" si="5"/>
        <v>0.5163398692810458</v>
      </c>
      <c r="T15">
        <f>GETPIVOTDATA(""&amp;T$1,Control!$B$66,"Year",""&amp;$A15)</f>
        <v>63.83</v>
      </c>
      <c r="U15">
        <f>GETPIVOTDATA(""&amp;U$1,Control!$C$66,"Year",""&amp;$A15)</f>
        <v>133.21</v>
      </c>
      <c r="V15" s="6">
        <f t="shared" si="6"/>
        <v>0.32394437677628901</v>
      </c>
      <c r="AB15">
        <v>4.05</v>
      </c>
      <c r="AC15">
        <v>24.03</v>
      </c>
      <c r="AD15">
        <v>71.02</v>
      </c>
      <c r="AJ15" s="72">
        <f>MacroData[[#This Row],[Year]]</f>
        <v>2012</v>
      </c>
      <c r="AK15">
        <f>MacroData[[#This Row],[Policy_Interest_Rate]]</f>
        <v>5.0999999999999996</v>
      </c>
      <c r="AL15">
        <f>MacroData[[#This Row],[Market_Interest_Rate]]</f>
        <v>5.0999999999999996</v>
      </c>
      <c r="AN15">
        <v>2013</v>
      </c>
      <c r="AO15">
        <v>13</v>
      </c>
      <c r="AR15" s="72">
        <f>MacroData[[#This Row],[Year]]</f>
        <v>2012</v>
      </c>
      <c r="AS15">
        <f>MacroData[[#This Row],[Headline_Inflation]]</f>
        <v>2.2599999999999998</v>
      </c>
      <c r="AT15">
        <f>MacroData[[#This Row],[Core_Inflation]]</f>
        <v>1.6</v>
      </c>
      <c r="AU15">
        <f>MacroData[[#This Row],[Food_Inflation]]</f>
        <v>2.2000000000000002</v>
      </c>
      <c r="AV15">
        <f>MacroData[[#This Row],[Non_Food_Inflation]]</f>
        <v>2.5</v>
      </c>
      <c r="AW15">
        <f>MacroData[[#This Row],[PPI]]</f>
        <v>3.8</v>
      </c>
      <c r="BB15" s="72">
        <f>MacroData[[#This Row],[Year]]</f>
        <v>2012</v>
      </c>
      <c r="BC15">
        <f>MacroData[[#This Row],[Unemployment_Rate]]</f>
        <v>15.05</v>
      </c>
      <c r="BD15">
        <f>MacroData[[#This Row],[Labour_Force_Part_Rate]]</f>
        <v>40.15</v>
      </c>
      <c r="BE15">
        <f>MacroData[[#This Row],[Female_LFPR]]</f>
        <v>50.01</v>
      </c>
      <c r="BF15" t="e">
        <f>INDEX(MacroData[Male_Wage_Growth],
MATCH(Control!A17, MacroData[Year],0))</f>
        <v>#N/A</v>
      </c>
      <c r="BG15" t="e">
        <f>INDEX(MacroData[Female_Wage_Growth],
MATCH(Control!A17, MacroData[Year],0))</f>
        <v>#N/A</v>
      </c>
      <c r="BH15" s="82" t="e">
        <f>INDEX(MacroData[Male_Wage_Growth],
MATCH(Control!A17, MacroData[Year],0))
-
INDEX(MacroData[Female_Wage_Growth],
MATCH(Control!A17, MacroData[Year],0))</f>
        <v>#N/A</v>
      </c>
      <c r="BJ15" s="72">
        <f>MacroData[[#This Row],[Year]]</f>
        <v>2012</v>
      </c>
      <c r="BK15">
        <f>MacroData[[#This Row],[Exports]]</f>
        <v>63.83</v>
      </c>
      <c r="BL15">
        <f>MacroData[[#This Row],[Imports]]</f>
        <v>133.21</v>
      </c>
      <c r="BM15">
        <f>MacroData[[#This Row],[Exchange_Rate_Movement]]</f>
        <v>0.54</v>
      </c>
      <c r="BN15">
        <f>MacroData[[#This Row],[FDI]]</f>
        <v>3.99</v>
      </c>
      <c r="BO15" s="82">
        <f>Table5[[#This Row],[Exports]] - Table5[[#This Row],[Imports]]</f>
        <v>-69.38000000000001</v>
      </c>
      <c r="BS15" s="72">
        <f>MacroData[[#This Row],[Year]]</f>
        <v>2012</v>
      </c>
      <c r="BT15">
        <f>MacroData[[#This Row],[Gov_Expenditure]]</f>
        <v>38.6</v>
      </c>
      <c r="BU15">
        <f>MacroData[[#This Row],[Budget_Deficit]]</f>
        <v>0.2</v>
      </c>
      <c r="BV15">
        <f>MacroData[[#This Row],[Public_Debt]]</f>
        <v>44.4</v>
      </c>
      <c r="BW15">
        <f>MacroData[[#This Row],[Revenue_Taxation]]</f>
        <v>24</v>
      </c>
    </row>
    <row r="16" spans="1:77" x14ac:dyDescent="0.3">
      <c r="A16" s="74">
        <v>2013</v>
      </c>
      <c r="B16" s="2" t="str">
        <f t="shared" si="0"/>
        <v>13</v>
      </c>
      <c r="C16" s="2">
        <f t="shared" si="1"/>
        <v>0.52359999999999995</v>
      </c>
      <c r="D16">
        <f>GETPIVOTDATA(""&amp;D$1,Control!$W$3,"Year",""&amp;$A16)</f>
        <v>2.0099999999999998</v>
      </c>
      <c r="E16">
        <f>GETPIVOTDATA(""&amp;E$1,Control!$W$3,"Year",""&amp;$A16)</f>
        <v>3.02</v>
      </c>
      <c r="F16" s="2">
        <f t="shared" si="2"/>
        <v>0.52359999999999995</v>
      </c>
      <c r="G16">
        <f>IFERROR(GETPIVOTDATA(""&amp;D$1,Control!$B$3,"Year",""&amp;$A16),NA())</f>
        <v>2.0099999999999998</v>
      </c>
      <c r="H16">
        <f>IFERROR(GETPIVOTDATA(""&amp;E$1,Control!$B$3,"Year",""&amp;$A16),NA())</f>
        <v>3.02</v>
      </c>
      <c r="I16">
        <f t="shared" si="3"/>
        <v>2.5335999999999999</v>
      </c>
      <c r="J16" t="str">
        <f t="shared" si="4"/>
        <v>2</v>
      </c>
      <c r="L16">
        <f>GETPIVOTDATA(""&amp;L$1,Control!$B$36,"Year",""&amp;$A16)</f>
        <v>89.24</v>
      </c>
      <c r="M16">
        <f>GETPIVOTDATA(""&amp;M$1,Control!$B$36,"Year",""&amp;$A16)</f>
        <v>83.52</v>
      </c>
      <c r="N16" s="6">
        <f t="shared" si="5"/>
        <v>0.51655475804584394</v>
      </c>
      <c r="T16">
        <f>GETPIVOTDATA(""&amp;T$1,Control!$B$66,"Year",""&amp;$A16)</f>
        <v>62.58</v>
      </c>
      <c r="U16">
        <f>GETPIVOTDATA(""&amp;U$1,Control!$C$66,"Year",""&amp;$A16)</f>
        <v>129.68</v>
      </c>
      <c r="V16" s="6">
        <f t="shared" si="6"/>
        <v>0.32549672318735046</v>
      </c>
      <c r="AB16">
        <v>4.01</v>
      </c>
      <c r="AC16">
        <v>23.08</v>
      </c>
      <c r="AD16">
        <v>72.010000000000005</v>
      </c>
      <c r="AJ16" s="72">
        <f>MacroData[[#This Row],[Year]]</f>
        <v>2013</v>
      </c>
      <c r="AK16">
        <f>MacroData[[#This Row],[Policy_Interest_Rate]]</f>
        <v>4.3</v>
      </c>
      <c r="AL16">
        <f>MacroData[[#This Row],[Market_Interest_Rate]]</f>
        <v>4.3</v>
      </c>
      <c r="AN16">
        <v>2014</v>
      </c>
      <c r="AO16">
        <v>8.02</v>
      </c>
      <c r="AR16" s="72">
        <f>MacroData[[#This Row],[Year]]</f>
        <v>2013</v>
      </c>
      <c r="AS16">
        <f>MacroData[[#This Row],[Headline_Inflation]]</f>
        <v>-0.03</v>
      </c>
      <c r="AT16">
        <f>MacroData[[#This Row],[Core_Inflation]]</f>
        <v>0.3</v>
      </c>
      <c r="AU16">
        <f>MacroData[[#This Row],[Food_Inflation]]</f>
        <v>1.2</v>
      </c>
      <c r="AV16">
        <f>MacroData[[#This Row],[Non_Food_Inflation]]</f>
        <v>-1.1000000000000001</v>
      </c>
      <c r="AW16">
        <f>MacroData[[#This Row],[PPI]]</f>
        <v>0.7</v>
      </c>
      <c r="BB16" s="72">
        <f>MacroData[[#This Row],[Year]]</f>
        <v>2013</v>
      </c>
      <c r="BC16">
        <f>MacroData[[#This Row],[Unemployment_Rate]]</f>
        <v>11.87</v>
      </c>
      <c r="BD16">
        <f>MacroData[[#This Row],[Labour_Force_Part_Rate]]</f>
        <v>39.369999999999997</v>
      </c>
      <c r="BE16">
        <f>MacroData[[#This Row],[Female_LFPR]]</f>
        <v>49.99</v>
      </c>
      <c r="BF16" t="e">
        <f>INDEX(MacroData[Male_Wage_Growth],
MATCH(Control!A18, MacroData[Year],0))</f>
        <v>#N/A</v>
      </c>
      <c r="BG16" t="e">
        <f>INDEX(MacroData[Female_Wage_Growth],
MATCH(Control!A18, MacroData[Year],0))</f>
        <v>#N/A</v>
      </c>
      <c r="BH16" s="82" t="e">
        <f>INDEX(MacroData[Male_Wage_Growth],
MATCH(Control!A18, MacroData[Year],0))
-
INDEX(MacroData[Female_Wage_Growth],
MATCH(Control!A18, MacroData[Year],0))</f>
        <v>#N/A</v>
      </c>
      <c r="BJ16" s="72">
        <f>MacroData[[#This Row],[Year]]</f>
        <v>2013</v>
      </c>
      <c r="BK16">
        <f>MacroData[[#This Row],[Exports]]</f>
        <v>62.58</v>
      </c>
      <c r="BL16">
        <f>MacroData[[#This Row],[Imports]]</f>
        <v>129.68</v>
      </c>
      <c r="BM16">
        <f>MacroData[[#This Row],[Exchange_Rate_Movement]]</f>
        <v>0.53</v>
      </c>
      <c r="BN16">
        <f>MacroData[[#This Row],[FDI]]</f>
        <v>3.39</v>
      </c>
      <c r="BO16" s="82">
        <f>Table5[[#This Row],[Exports]] - Table5[[#This Row],[Imports]]</f>
        <v>-67.100000000000009</v>
      </c>
      <c r="BS16" s="72">
        <f>MacroData[[#This Row],[Year]]</f>
        <v>2013</v>
      </c>
      <c r="BT16">
        <f>MacroData[[#This Row],[Gov_Expenditure]]</f>
        <v>38.700000000000003</v>
      </c>
      <c r="BU16">
        <f>MacroData[[#This Row],[Budget_Deficit]]</f>
        <v>-0.6</v>
      </c>
      <c r="BV16">
        <f>MacroData[[#This Row],[Public_Debt]]</f>
        <v>41.8</v>
      </c>
      <c r="BW16">
        <f>MacroData[[#This Row],[Revenue_Taxation]]</f>
        <v>25</v>
      </c>
    </row>
    <row r="17" spans="1:75" x14ac:dyDescent="0.3">
      <c r="A17" s="75">
        <v>2014</v>
      </c>
      <c r="B17" s="2" t="str">
        <f t="shared" si="0"/>
        <v>14</v>
      </c>
      <c r="C17" s="2">
        <f t="shared" si="1"/>
        <v>0.52359999999999995</v>
      </c>
      <c r="D17">
        <f>GETPIVOTDATA(""&amp;D$1,Control!$W$3,"Year",""&amp;$A17)</f>
        <v>2.09</v>
      </c>
      <c r="E17">
        <f>GETPIVOTDATA(""&amp;E$1,Control!$W$3,"Year",""&amp;$A17)</f>
        <v>3.01</v>
      </c>
      <c r="F17" s="2">
        <f t="shared" si="2"/>
        <v>0.52359999999999995</v>
      </c>
      <c r="G17">
        <f>IFERROR(GETPIVOTDATA(""&amp;D$1,Control!$B$3,"Year",""&amp;$A17),NA())</f>
        <v>2.09</v>
      </c>
      <c r="H17">
        <f>IFERROR(GETPIVOTDATA(""&amp;E$1,Control!$B$3,"Year",""&amp;$A17),NA())</f>
        <v>3.01</v>
      </c>
      <c r="I17">
        <f t="shared" si="3"/>
        <v>2.6135999999999999</v>
      </c>
      <c r="J17" t="str">
        <f t="shared" si="4"/>
        <v>2</v>
      </c>
      <c r="L17">
        <f>GETPIVOTDATA(""&amp;L$1,Control!$B$36,"Year",""&amp;$A17)</f>
        <v>89.28</v>
      </c>
      <c r="M17">
        <f>GETPIVOTDATA(""&amp;M$1,Control!$B$36,"Year",""&amp;$A17)</f>
        <v>83.41</v>
      </c>
      <c r="N17" s="6">
        <f t="shared" si="5"/>
        <v>0.51699577277201925</v>
      </c>
      <c r="T17">
        <f>GETPIVOTDATA(""&amp;T$1,Control!$B$66,"Year",""&amp;$A17)</f>
        <v>63.57</v>
      </c>
      <c r="U17">
        <f>GETPIVOTDATA(""&amp;U$1,Control!$C$66,"Year",""&amp;$A17)</f>
        <v>130.04</v>
      </c>
      <c r="V17" s="6">
        <f t="shared" si="6"/>
        <v>0.32834047828108054</v>
      </c>
      <c r="AB17">
        <v>3.07</v>
      </c>
      <c r="AC17">
        <v>23.04</v>
      </c>
      <c r="AD17">
        <v>72.09</v>
      </c>
      <c r="AJ17" s="72">
        <f>MacroData[[#This Row],[Year]]</f>
        <v>2014</v>
      </c>
      <c r="AK17">
        <f>MacroData[[#This Row],[Policy_Interest_Rate]]</f>
        <v>3.8</v>
      </c>
      <c r="AL17">
        <f>MacroData[[#This Row],[Market_Interest_Rate]]</f>
        <v>3.8</v>
      </c>
      <c r="AN17">
        <v>2015</v>
      </c>
      <c r="AO17">
        <v>8.0399999999999991</v>
      </c>
      <c r="AR17" s="72">
        <f>MacroData[[#This Row],[Year]]</f>
        <v>2014</v>
      </c>
      <c r="AS17">
        <f>MacroData[[#This Row],[Headline_Inflation]]</f>
        <v>0.62</v>
      </c>
      <c r="AT17">
        <f>MacroData[[#This Row],[Core_Inflation]]</f>
        <v>0.9</v>
      </c>
      <c r="AU17">
        <f>MacroData[[#This Row],[Food_Inflation]]</f>
        <v>0.4</v>
      </c>
      <c r="AV17">
        <f>MacroData[[#This Row],[Non_Food_Inflation]]</f>
        <v>0.8</v>
      </c>
      <c r="AW17">
        <f>MacroData[[#This Row],[PPI]]</f>
        <v>-0.3</v>
      </c>
      <c r="BB17" s="72">
        <f>MacroData[[#This Row],[Year]]</f>
        <v>2014</v>
      </c>
      <c r="BC17">
        <f>MacroData[[#This Row],[Unemployment_Rate]]</f>
        <v>10.85</v>
      </c>
      <c r="BD17">
        <f>MacroData[[#This Row],[Labour_Force_Part_Rate]]</f>
        <v>40.43</v>
      </c>
      <c r="BE17">
        <f>MacroData[[#This Row],[Female_LFPR]]</f>
        <v>49.59</v>
      </c>
      <c r="BF17" t="e">
        <f>INDEX(MacroData[Male_Wage_Growth],
MATCH(Control!A19, MacroData[Year],0))</f>
        <v>#N/A</v>
      </c>
      <c r="BG17" t="e">
        <f>INDEX(MacroData[Female_Wage_Growth],
MATCH(Control!A19, MacroData[Year],0))</f>
        <v>#N/A</v>
      </c>
      <c r="BH17" s="82" t="e">
        <f>INDEX(MacroData[Male_Wage_Growth],
MATCH(Control!A19, MacroData[Year],0))
-
INDEX(MacroData[Female_Wage_Growth],
MATCH(Control!A19, MacroData[Year],0))</f>
        <v>#N/A</v>
      </c>
      <c r="BJ17" s="72">
        <f>MacroData[[#This Row],[Year]]</f>
        <v>2014</v>
      </c>
      <c r="BK17">
        <f>MacroData[[#This Row],[Exports]]</f>
        <v>63.57</v>
      </c>
      <c r="BL17">
        <f>MacroData[[#This Row],[Imports]]</f>
        <v>130.04</v>
      </c>
      <c r="BM17">
        <f>MacroData[[#This Row],[Exchange_Rate_Movement]]</f>
        <v>0.75</v>
      </c>
      <c r="BN17">
        <f>MacroData[[#This Row],[FDI]]</f>
        <v>3.45</v>
      </c>
      <c r="BO17" s="82">
        <f>Table5[[#This Row],[Exports]] - Table5[[#This Row],[Imports]]</f>
        <v>-66.47</v>
      </c>
      <c r="BS17" s="72">
        <f>MacroData[[#This Row],[Year]]</f>
        <v>2014</v>
      </c>
      <c r="BT17">
        <f>MacroData[[#This Row],[Gov_Expenditure]]</f>
        <v>39.200000000000003</v>
      </c>
      <c r="BU17">
        <f>MacroData[[#This Row],[Budget_Deficit]]</f>
        <v>-1.7</v>
      </c>
      <c r="BV17">
        <f>MacroData[[#This Row],[Public_Debt]]</f>
        <v>43.1</v>
      </c>
      <c r="BW17">
        <f>MacroData[[#This Row],[Revenue_Taxation]]</f>
        <v>26</v>
      </c>
    </row>
    <row r="18" spans="1:75" x14ac:dyDescent="0.3">
      <c r="A18" s="74">
        <v>2015</v>
      </c>
      <c r="B18" s="2" t="str">
        <f t="shared" si="0"/>
        <v>15</v>
      </c>
      <c r="C18" s="2">
        <f t="shared" si="1"/>
        <v>0.52359999999999995</v>
      </c>
      <c r="D18">
        <f>GETPIVOTDATA(""&amp;D$1,Control!$W$3,"Year",""&amp;$A18)</f>
        <v>3.78</v>
      </c>
      <c r="E18">
        <f>GETPIVOTDATA(""&amp;E$1,Control!$W$3,"Year",""&amp;$A18)</f>
        <v>4.0599999999999996</v>
      </c>
      <c r="F18" s="2">
        <f t="shared" si="2"/>
        <v>0.52359999999999995</v>
      </c>
      <c r="G18" t="e">
        <f>IFERROR(GETPIVOTDATA(""&amp;D$1,Control!$B$3,"Year",""&amp;$A18),NA())</f>
        <v>#N/A</v>
      </c>
      <c r="H18" t="e">
        <f>IFERROR(GETPIVOTDATA(""&amp;E$1,Control!$B$3,"Year",""&amp;$A18),NA())</f>
        <v>#N/A</v>
      </c>
      <c r="I18" t="e">
        <f t="shared" si="3"/>
        <v>#N/A</v>
      </c>
      <c r="J18" t="e">
        <f t="shared" si="4"/>
        <v>#N/A</v>
      </c>
      <c r="L18">
        <f>GETPIVOTDATA(""&amp;L$1,Control!$B$36,"Year",""&amp;$A18)</f>
        <v>89.15</v>
      </c>
      <c r="M18">
        <f>GETPIVOTDATA(""&amp;M$1,Control!$B$36,"Year",""&amp;$A18)</f>
        <v>83.18</v>
      </c>
      <c r="N18" s="6">
        <f t="shared" si="5"/>
        <v>0.51732141820924971</v>
      </c>
      <c r="T18">
        <f>GETPIVOTDATA(""&amp;T$1,Control!$B$66,"Year",""&amp;$A18)</f>
        <v>62.6</v>
      </c>
      <c r="U18">
        <f>GETPIVOTDATA(""&amp;U$1,Control!$C$66,"Year",""&amp;$A18)</f>
        <v>126.38</v>
      </c>
      <c r="V18" s="6">
        <f t="shared" si="6"/>
        <v>0.3312519843369669</v>
      </c>
      <c r="AB18">
        <v>3.09</v>
      </c>
      <c r="AC18">
        <v>23.03</v>
      </c>
      <c r="AD18">
        <v>72.08</v>
      </c>
      <c r="AJ18" s="72">
        <f>MacroData[[#This Row],[Year]]</f>
        <v>2015</v>
      </c>
      <c r="AK18">
        <f>MacroData[[#This Row],[Policy_Interest_Rate]]</f>
        <v>3.5</v>
      </c>
      <c r="AL18">
        <f>MacroData[[#This Row],[Market_Interest_Rate]]</f>
        <v>3.5</v>
      </c>
      <c r="AN18">
        <v>2016</v>
      </c>
      <c r="AO18">
        <v>6.08</v>
      </c>
      <c r="AR18" s="72">
        <f>MacroData[[#This Row],[Year]]</f>
        <v>2015</v>
      </c>
      <c r="AS18">
        <f>MacroData[[#This Row],[Headline_Inflation]]</f>
        <v>0.17</v>
      </c>
      <c r="AT18">
        <f>MacroData[[#This Row],[Core_Inflation]]</f>
        <v>1.2</v>
      </c>
      <c r="AU18">
        <f>MacroData[[#This Row],[Food_Inflation]]</f>
        <v>-0.3</v>
      </c>
      <c r="AV18">
        <f>MacroData[[#This Row],[Non_Food_Inflation]]</f>
        <v>-0.1</v>
      </c>
      <c r="AW18">
        <f>MacroData[[#This Row],[PPI]]</f>
        <v>-1.1000000000000001</v>
      </c>
      <c r="BB18" s="72">
        <f>MacroData[[#This Row],[Year]]</f>
        <v>2015</v>
      </c>
      <c r="BC18">
        <f>MacroData[[#This Row],[Unemployment_Rate]]</f>
        <v>9.8699999999999992</v>
      </c>
      <c r="BD18">
        <f>MacroData[[#This Row],[Labour_Force_Part_Rate]]</f>
        <v>41.29</v>
      </c>
      <c r="BE18">
        <f>MacroData[[#This Row],[Female_LFPR]]</f>
        <v>49.56</v>
      </c>
      <c r="BF18" t="e">
        <f>INDEX(MacroData[Male_Wage_Growth],
MATCH(Control!A20, MacroData[Year],0))</f>
        <v>#N/A</v>
      </c>
      <c r="BG18" t="e">
        <f>INDEX(MacroData[Female_Wage_Growth],
MATCH(Control!A20, MacroData[Year],0))</f>
        <v>#N/A</v>
      </c>
      <c r="BH18" s="82" t="e">
        <f>INDEX(MacroData[Male_Wage_Growth],
MATCH(Control!A20, MacroData[Year],0))
-
INDEX(MacroData[Female_Wage_Growth],
MATCH(Control!A20, MacroData[Year],0))</f>
        <v>#N/A</v>
      </c>
      <c r="BJ18" s="72">
        <f>MacroData[[#This Row],[Year]]</f>
        <v>2015</v>
      </c>
      <c r="BK18">
        <f>MacroData[[#This Row],[Exports]]</f>
        <v>62.6</v>
      </c>
      <c r="BL18">
        <f>MacroData[[#This Row],[Imports]]</f>
        <v>126.38</v>
      </c>
      <c r="BM18">
        <f>MacroData[[#This Row],[Exchange_Rate_Movement]]</f>
        <v>0.91</v>
      </c>
      <c r="BN18">
        <f>MacroData[[#This Row],[FDI]]</f>
        <v>3.09</v>
      </c>
      <c r="BO18" s="82">
        <f>Table5[[#This Row],[Exports]] - Table5[[#This Row],[Imports]]</f>
        <v>-63.779999999999994</v>
      </c>
      <c r="BS18" s="72">
        <f>MacroData[[#This Row],[Year]]</f>
        <v>2015</v>
      </c>
      <c r="BT18">
        <f>MacroData[[#This Row],[Gov_Expenditure]]</f>
        <v>38.700000000000003</v>
      </c>
      <c r="BU18">
        <f>MacroData[[#This Row],[Budget_Deficit]]</f>
        <v>-1.6</v>
      </c>
      <c r="BV18">
        <f>MacroData[[#This Row],[Public_Debt]]</f>
        <v>38.299999999999997</v>
      </c>
      <c r="BW18">
        <f>MacroData[[#This Row],[Revenue_Taxation]]</f>
        <v>26</v>
      </c>
    </row>
    <row r="19" spans="1:75" x14ac:dyDescent="0.3">
      <c r="A19" s="75">
        <v>2016</v>
      </c>
      <c r="B19" s="2" t="str">
        <f t="shared" si="0"/>
        <v>16</v>
      </c>
      <c r="C19" s="2">
        <f t="shared" si="1"/>
        <v>0.52359999999999995</v>
      </c>
      <c r="D19">
        <f>GETPIVOTDATA(""&amp;D$1,Control!$W$3,"Year",""&amp;$A19)</f>
        <v>2.5499999999999998</v>
      </c>
      <c r="E19">
        <f>GETPIVOTDATA(""&amp;E$1,Control!$W$3,"Year",""&amp;$A19)</f>
        <v>3.05</v>
      </c>
      <c r="F19" s="2">
        <f t="shared" si="2"/>
        <v>0.52359999999999995</v>
      </c>
      <c r="G19" t="e">
        <f>IFERROR(GETPIVOTDATA(""&amp;D$1,Control!$B$3,"Year",""&amp;$A19),NA())</f>
        <v>#N/A</v>
      </c>
      <c r="H19" t="e">
        <f>IFERROR(GETPIVOTDATA(""&amp;E$1,Control!$B$3,"Year",""&amp;$A19),NA())</f>
        <v>#N/A</v>
      </c>
      <c r="I19" t="e">
        <f t="shared" si="3"/>
        <v>#N/A</v>
      </c>
      <c r="J19" t="e">
        <f t="shared" si="4"/>
        <v>#N/A</v>
      </c>
      <c r="L19">
        <f>GETPIVOTDATA(""&amp;L$1,Control!$B$36,"Year",""&amp;$A19)</f>
        <v>89</v>
      </c>
      <c r="M19">
        <f>GETPIVOTDATA(""&amp;M$1,Control!$B$36,"Year",""&amp;$A19)</f>
        <v>83.07</v>
      </c>
      <c r="N19" s="6">
        <f t="shared" si="5"/>
        <v>0.51723135933050501</v>
      </c>
      <c r="T19">
        <f>GETPIVOTDATA(""&amp;T$1,Control!$B$66,"Year",""&amp;$A19)</f>
        <v>61.93</v>
      </c>
      <c r="U19">
        <f>GETPIVOTDATA(""&amp;U$1,Control!$C$66,"Year",""&amp;$A19)</f>
        <v>123.33</v>
      </c>
      <c r="V19" s="6">
        <f t="shared" si="6"/>
        <v>0.33428694807297854</v>
      </c>
      <c r="AB19">
        <v>3.09</v>
      </c>
      <c r="AC19">
        <v>24.01</v>
      </c>
      <c r="AD19">
        <v>72</v>
      </c>
      <c r="AJ19" s="72">
        <f>MacroData[[#This Row],[Year]]</f>
        <v>2016</v>
      </c>
      <c r="AK19">
        <f>MacroData[[#This Row],[Policy_Interest_Rate]]</f>
        <v>3.2</v>
      </c>
      <c r="AL19">
        <f>MacroData[[#This Row],[Market_Interest_Rate]]</f>
        <v>3.2</v>
      </c>
      <c r="AN19">
        <v>2017</v>
      </c>
      <c r="AO19">
        <v>3.02</v>
      </c>
      <c r="AR19" s="72">
        <f>MacroData[[#This Row],[Year]]</f>
        <v>2016</v>
      </c>
      <c r="AS19">
        <f>MacroData[[#This Row],[Headline_Inflation]]</f>
        <v>0.14000000000000001</v>
      </c>
      <c r="AT19">
        <f>MacroData[[#This Row],[Core_Inflation]]</f>
        <v>1</v>
      </c>
      <c r="AU19">
        <f>MacroData[[#This Row],[Food_Inflation]]</f>
        <v>-0.7</v>
      </c>
      <c r="AV19">
        <f>MacroData[[#This Row],[Non_Food_Inflation]]</f>
        <v>-0.6</v>
      </c>
      <c r="AW19">
        <f>MacroData[[#This Row],[PPI]]</f>
        <v>-1.7</v>
      </c>
      <c r="BB19" s="72">
        <f>MacroData[[#This Row],[Year]]</f>
        <v>2016</v>
      </c>
      <c r="BC19">
        <f>MacroData[[#This Row],[Unemployment_Rate]]</f>
        <v>9.64</v>
      </c>
      <c r="BD19">
        <f>MacroData[[#This Row],[Labour_Force_Part_Rate]]</f>
        <v>39.700000000000003</v>
      </c>
      <c r="BE19">
        <f>MacroData[[#This Row],[Female_LFPR]]</f>
        <v>50.08</v>
      </c>
      <c r="BF19" t="e">
        <f>INDEX(MacroData[Male_Wage_Growth],
MATCH(Control!A21, MacroData[Year],0))</f>
        <v>#N/A</v>
      </c>
      <c r="BG19" t="e">
        <f>INDEX(MacroData[Female_Wage_Growth],
MATCH(Control!A21, MacroData[Year],0))</f>
        <v>#N/A</v>
      </c>
      <c r="BH19" s="82" t="e">
        <f>INDEX(MacroData[Male_Wage_Growth],
MATCH(Control!A21, MacroData[Year],0))
-
INDEX(MacroData[Female_Wage_Growth],
MATCH(Control!A21, MacroData[Year],0))</f>
        <v>#N/A</v>
      </c>
      <c r="BJ19" s="72">
        <f>MacroData[[#This Row],[Year]]</f>
        <v>2016</v>
      </c>
      <c r="BK19">
        <f>MacroData[[#This Row],[Exports]]</f>
        <v>61.93</v>
      </c>
      <c r="BL19">
        <f>MacroData[[#This Row],[Imports]]</f>
        <v>123.33</v>
      </c>
      <c r="BM19">
        <f>MacroData[[#This Row],[Exchange_Rate_Movement]]</f>
        <v>0.91</v>
      </c>
      <c r="BN19">
        <f>MacroData[[#This Row],[FDI]]</f>
        <v>1.24</v>
      </c>
      <c r="BO19" s="82">
        <f>Table5[[#This Row],[Exports]] - Table5[[#This Row],[Imports]]</f>
        <v>-61.4</v>
      </c>
      <c r="BS19" s="72">
        <f>MacroData[[#This Row],[Year]]</f>
        <v>2016</v>
      </c>
      <c r="BT19">
        <f>MacroData[[#This Row],[Gov_Expenditure]]</f>
        <v>37.4</v>
      </c>
      <c r="BU19">
        <f>MacroData[[#This Row],[Budget_Deficit]]</f>
        <v>-0.5</v>
      </c>
      <c r="BV19">
        <f>MacroData[[#This Row],[Public_Debt]]</f>
        <v>41.7</v>
      </c>
      <c r="BW19">
        <f>MacroData[[#This Row],[Revenue_Taxation]]</f>
        <v>27</v>
      </c>
    </row>
    <row r="20" spans="1:75" x14ac:dyDescent="0.3">
      <c r="A20" s="74">
        <v>2017</v>
      </c>
      <c r="B20" s="2" t="str">
        <f t="shared" si="0"/>
        <v>17</v>
      </c>
      <c r="C20" s="2">
        <f t="shared" si="1"/>
        <v>0.52359999999999995</v>
      </c>
      <c r="D20">
        <f>GETPIVOTDATA(""&amp;D$1,Control!$W$3,"Year",""&amp;$A20)</f>
        <v>3.04</v>
      </c>
      <c r="E20">
        <f>GETPIVOTDATA(""&amp;E$1,Control!$W$3,"Year",""&amp;$A20)</f>
        <v>4.03</v>
      </c>
      <c r="F20" s="2">
        <f t="shared" si="2"/>
        <v>0.52359999999999995</v>
      </c>
      <c r="G20" t="e">
        <f>IFERROR(GETPIVOTDATA(""&amp;D$1,Control!$B$3,"Year",""&amp;$A20),NA())</f>
        <v>#N/A</v>
      </c>
      <c r="H20" t="e">
        <f>IFERROR(GETPIVOTDATA(""&amp;E$1,Control!$B$3,"Year",""&amp;$A20),NA())</f>
        <v>#N/A</v>
      </c>
      <c r="I20" t="e">
        <f t="shared" si="3"/>
        <v>#N/A</v>
      </c>
      <c r="J20" t="e">
        <f t="shared" si="4"/>
        <v>#N/A</v>
      </c>
      <c r="L20">
        <f>GETPIVOTDATA(""&amp;L$1,Control!$B$36,"Year",""&amp;$A20)</f>
        <v>89.47</v>
      </c>
      <c r="M20">
        <f>GETPIVOTDATA(""&amp;M$1,Control!$B$36,"Year",""&amp;$A20)</f>
        <v>84.05</v>
      </c>
      <c r="N20" s="6">
        <f t="shared" si="5"/>
        <v>0.51561779621945603</v>
      </c>
      <c r="T20">
        <f>GETPIVOTDATA(""&amp;T$1,Control!$B$66,"Year",""&amp;$A20)</f>
        <v>64.14</v>
      </c>
      <c r="U20">
        <f>GETPIVOTDATA(""&amp;U$1,Control!$C$66,"Year",""&amp;$A20)</f>
        <v>128.71</v>
      </c>
      <c r="V20" s="6">
        <f t="shared" si="6"/>
        <v>0.33259009592947886</v>
      </c>
      <c r="AB20">
        <v>3.09</v>
      </c>
      <c r="AC20">
        <v>22.04</v>
      </c>
      <c r="AD20">
        <v>73.069999999999993</v>
      </c>
      <c r="AJ20" s="72">
        <f>MacroData[[#This Row],[Year]]</f>
        <v>2017</v>
      </c>
      <c r="AK20">
        <f>MacroData[[#This Row],[Policy_Interest_Rate]]</f>
        <v>2.9</v>
      </c>
      <c r="AL20">
        <f>MacroData[[#This Row],[Market_Interest_Rate]]</f>
        <v>2.9</v>
      </c>
      <c r="AN20">
        <v>2018</v>
      </c>
      <c r="AO20">
        <v>13.08</v>
      </c>
      <c r="AR20" s="72">
        <f>MacroData[[#This Row],[Year]]</f>
        <v>2017</v>
      </c>
      <c r="AS20">
        <f>MacroData[[#This Row],[Headline_Inflation]]</f>
        <v>2.93</v>
      </c>
      <c r="AT20">
        <f>MacroData[[#This Row],[Core_Inflation]]</f>
        <v>1.9</v>
      </c>
      <c r="AU20">
        <f>MacroData[[#This Row],[Food_Inflation]]</f>
        <v>4.9000000000000004</v>
      </c>
      <c r="AV20">
        <f>MacroData[[#This Row],[Non_Food_Inflation]]</f>
        <v>2.2000000000000002</v>
      </c>
      <c r="AW20">
        <f>MacroData[[#This Row],[PPI]]</f>
        <v>3.2</v>
      </c>
      <c r="BB20" s="72">
        <f>MacroData[[#This Row],[Year]]</f>
        <v>2017</v>
      </c>
      <c r="BC20">
        <f>MacroData[[#This Row],[Unemployment_Rate]]</f>
        <v>8.7200000000000006</v>
      </c>
      <c r="BD20">
        <f>MacroData[[#This Row],[Labour_Force_Part_Rate]]</f>
        <v>39.76</v>
      </c>
      <c r="BE20">
        <f>MacroData[[#This Row],[Female_LFPR]]</f>
        <v>49.89</v>
      </c>
      <c r="BF20" t="e">
        <f>INDEX(MacroData[Male_Wage_Growth],
MATCH(Control!A22, MacroData[Year],0))</f>
        <v>#N/A</v>
      </c>
      <c r="BG20" t="e">
        <f>INDEX(MacroData[Female_Wage_Growth],
MATCH(Control!A22, MacroData[Year],0))</f>
        <v>#N/A</v>
      </c>
      <c r="BH20" s="82" t="e">
        <f>INDEX(MacroData[Male_Wage_Growth],
MATCH(Control!A22, MacroData[Year],0))
-
INDEX(MacroData[Female_Wage_Growth],
MATCH(Control!A22, MacroData[Year],0))</f>
        <v>#N/A</v>
      </c>
      <c r="BJ20" s="72">
        <f>MacroData[[#This Row],[Year]]</f>
        <v>2017</v>
      </c>
      <c r="BK20">
        <f>MacroData[[#This Row],[Exports]]</f>
        <v>64.14</v>
      </c>
      <c r="BL20">
        <f>MacroData[[#This Row],[Imports]]</f>
        <v>128.71</v>
      </c>
      <c r="BM20">
        <f>MacroData[[#This Row],[Exchange_Rate_Movement]]</f>
        <v>0.88</v>
      </c>
      <c r="BN20">
        <f>MacroData[[#This Row],[FDI]]</f>
        <v>4.05</v>
      </c>
      <c r="BO20" s="82">
        <f>Table5[[#This Row],[Exports]] - Table5[[#This Row],[Imports]]</f>
        <v>-64.570000000000007</v>
      </c>
      <c r="BS20" s="72">
        <f>MacroData[[#This Row],[Year]]</f>
        <v>2017</v>
      </c>
      <c r="BT20">
        <f>MacroData[[#This Row],[Gov_Expenditure]]</f>
        <v>37.799999999999997</v>
      </c>
      <c r="BU20">
        <f>MacroData[[#This Row],[Budget_Deficit]]</f>
        <v>-0.9</v>
      </c>
      <c r="BV20">
        <f>MacroData[[#This Row],[Public_Debt]]</f>
        <v>40.299999999999997</v>
      </c>
      <c r="BW20">
        <f>MacroData[[#This Row],[Revenue_Taxation]]</f>
        <v>28</v>
      </c>
    </row>
    <row r="21" spans="1:75" x14ac:dyDescent="0.3">
      <c r="A21" s="75">
        <v>2018</v>
      </c>
      <c r="B21" s="2" t="str">
        <f t="shared" si="0"/>
        <v>18</v>
      </c>
      <c r="C21" s="2">
        <f t="shared" si="1"/>
        <v>0.52359999999999995</v>
      </c>
      <c r="D21">
        <f>GETPIVOTDATA(""&amp;D$1,Control!$W$3,"Year",""&amp;$A21)</f>
        <v>4.3099999999999996</v>
      </c>
      <c r="E21">
        <f>GETPIVOTDATA(""&amp;E$1,Control!$W$3,"Year",""&amp;$A21)</f>
        <v>5.01</v>
      </c>
      <c r="F21" s="2">
        <f t="shared" si="2"/>
        <v>0.52359999999999995</v>
      </c>
      <c r="G21" t="e">
        <f>IFERROR(GETPIVOTDATA(""&amp;D$1,Control!$B$3,"Year",""&amp;$A21),NA())</f>
        <v>#N/A</v>
      </c>
      <c r="H21" t="e">
        <f>IFERROR(GETPIVOTDATA(""&amp;E$1,Control!$B$3,"Year",""&amp;$A21),NA())</f>
        <v>#N/A</v>
      </c>
      <c r="I21" t="e">
        <f t="shared" si="3"/>
        <v>#N/A</v>
      </c>
      <c r="J21" t="e">
        <f t="shared" si="4"/>
        <v>#N/A</v>
      </c>
      <c r="L21">
        <f>GETPIVOTDATA(""&amp;L$1,Control!$B$36,"Year",""&amp;$A21)</f>
        <v>89.58</v>
      </c>
      <c r="M21">
        <f>GETPIVOTDATA(""&amp;M$1,Control!$B$36,"Year",""&amp;$A21)</f>
        <v>83.97</v>
      </c>
      <c r="N21" s="6">
        <f t="shared" si="5"/>
        <v>0.51616248919619701</v>
      </c>
      <c r="T21">
        <f>GETPIVOTDATA(""&amp;T$1,Control!$B$66,"Year",""&amp;$A21)</f>
        <v>63.87</v>
      </c>
      <c r="U21">
        <f>GETPIVOTDATA(""&amp;U$1,Control!$C$66,"Year",""&amp;$A21)</f>
        <v>128.22999999999999</v>
      </c>
      <c r="V21" s="6">
        <f t="shared" si="6"/>
        <v>0.33248308172826652</v>
      </c>
      <c r="AB21">
        <v>3.07</v>
      </c>
      <c r="AC21">
        <v>22.09</v>
      </c>
      <c r="AD21">
        <v>73.040000000000006</v>
      </c>
      <c r="AJ21" s="72">
        <f>MacroData[[#This Row],[Year]]</f>
        <v>2018</v>
      </c>
      <c r="AK21">
        <f>MacroData[[#This Row],[Policy_Interest_Rate]]</f>
        <v>2.8</v>
      </c>
      <c r="AL21">
        <f>MacroData[[#This Row],[Market_Interest_Rate]]</f>
        <v>2.8</v>
      </c>
      <c r="AN21">
        <v>2019</v>
      </c>
      <c r="AO21">
        <v>8</v>
      </c>
      <c r="AR21" s="72">
        <f>MacroData[[#This Row],[Year]]</f>
        <v>2018</v>
      </c>
      <c r="AS21">
        <f>MacroData[[#This Row],[Headline_Inflation]]</f>
        <v>2.5299999999999998</v>
      </c>
      <c r="AT21">
        <f>MacroData[[#This Row],[Core_Inflation]]</f>
        <v>2</v>
      </c>
      <c r="AU21">
        <f>MacroData[[#This Row],[Food_Inflation]]</f>
        <v>1.3</v>
      </c>
      <c r="AV21">
        <f>MacroData[[#This Row],[Non_Food_Inflation]]</f>
        <v>3.1</v>
      </c>
      <c r="AW21">
        <f>MacroData[[#This Row],[PPI]]</f>
        <v>4.3</v>
      </c>
      <c r="BB21" s="72">
        <f>MacroData[[#This Row],[Year]]</f>
        <v>2018</v>
      </c>
      <c r="BC21">
        <f>MacroData[[#This Row],[Unemployment_Rate]]</f>
        <v>7.41</v>
      </c>
      <c r="BD21">
        <f>MacroData[[#This Row],[Labour_Force_Part_Rate]]</f>
        <v>37.729999999999997</v>
      </c>
      <c r="BE21">
        <f>MacroData[[#This Row],[Female_LFPR]]</f>
        <v>49.89</v>
      </c>
      <c r="BF21" t="e">
        <f>INDEX(MacroData[Male_Wage_Growth],
MATCH(Control!A23, MacroData[Year],0))</f>
        <v>#N/A</v>
      </c>
      <c r="BG21" t="e">
        <f>INDEX(MacroData[Female_Wage_Growth],
MATCH(Control!A23, MacroData[Year],0))</f>
        <v>#N/A</v>
      </c>
      <c r="BH21" s="82" t="e">
        <f>INDEX(MacroData[Male_Wage_Growth],
MATCH(Control!A23, MacroData[Year],0))
-
INDEX(MacroData[Female_Wage_Growth],
MATCH(Control!A23, MacroData[Year],0))</f>
        <v>#N/A</v>
      </c>
      <c r="BJ21" s="72">
        <f>MacroData[[#This Row],[Year]]</f>
        <v>2018</v>
      </c>
      <c r="BK21">
        <f>MacroData[[#This Row],[Exports]]</f>
        <v>63.87</v>
      </c>
      <c r="BL21">
        <f>MacroData[[#This Row],[Imports]]</f>
        <v>128.22999999999999</v>
      </c>
      <c r="BM21">
        <f>MacroData[[#This Row],[Exchange_Rate_Movement]]</f>
        <v>0.85</v>
      </c>
      <c r="BN21">
        <f>MacroData[[#This Row],[FDI]]</f>
        <v>1.32</v>
      </c>
      <c r="BO21" s="82">
        <f>Table5[[#This Row],[Exports]] - Table5[[#This Row],[Imports]]</f>
        <v>-64.359999999999985</v>
      </c>
      <c r="BS21" s="72">
        <f>MacroData[[#This Row],[Year]]</f>
        <v>2018</v>
      </c>
      <c r="BT21">
        <f>MacroData[[#This Row],[Gov_Expenditure]]</f>
        <v>39.4</v>
      </c>
      <c r="BU21">
        <f>MacroData[[#This Row],[Budget_Deficit]]</f>
        <v>-0.8</v>
      </c>
      <c r="BV21">
        <f>MacroData[[#This Row],[Public_Debt]]</f>
        <v>38.299999999999997</v>
      </c>
      <c r="BW21">
        <f>MacroData[[#This Row],[Revenue_Taxation]]</f>
        <v>28</v>
      </c>
    </row>
    <row r="22" spans="1:75" x14ac:dyDescent="0.3">
      <c r="A22" s="74">
        <v>2019</v>
      </c>
      <c r="B22" s="2" t="str">
        <f t="shared" si="0"/>
        <v>19</v>
      </c>
      <c r="C22" s="2">
        <f t="shared" si="1"/>
        <v>0.52359999999999995</v>
      </c>
      <c r="D22">
        <f>GETPIVOTDATA(""&amp;D$1,Control!$W$3,"Year",""&amp;$A22)</f>
        <v>0.68</v>
      </c>
      <c r="E22">
        <f>GETPIVOTDATA(""&amp;E$1,Control!$W$3,"Year",""&amp;$A22)</f>
        <v>1.04</v>
      </c>
      <c r="F22" s="2">
        <f t="shared" si="2"/>
        <v>0.52359999999999995</v>
      </c>
      <c r="G22" t="e">
        <f>IFERROR(GETPIVOTDATA(""&amp;D$1,Control!$B$3,"Year",""&amp;$A22),NA())</f>
        <v>#N/A</v>
      </c>
      <c r="H22" t="e">
        <f>IFERROR(GETPIVOTDATA(""&amp;E$1,Control!$B$3,"Year",""&amp;$A22),NA())</f>
        <v>#N/A</v>
      </c>
      <c r="I22" t="e">
        <f t="shared" si="3"/>
        <v>#N/A</v>
      </c>
      <c r="J22" t="e">
        <f t="shared" si="4"/>
        <v>#N/A</v>
      </c>
      <c r="L22">
        <f>GETPIVOTDATA(""&amp;L$1,Control!$B$36,"Year",""&amp;$A22)</f>
        <v>89.61</v>
      </c>
      <c r="M22">
        <f>GETPIVOTDATA(""&amp;M$1,Control!$B$36,"Year",""&amp;$A22)</f>
        <v>84.35</v>
      </c>
      <c r="N22" s="6">
        <f t="shared" si="5"/>
        <v>0.51511841802713276</v>
      </c>
      <c r="T22">
        <f>GETPIVOTDATA(""&amp;T$1,Control!$B$66,"Year",""&amp;$A22)</f>
        <v>62.54</v>
      </c>
      <c r="U22">
        <f>GETPIVOTDATA(""&amp;U$1,Control!$C$66,"Year",""&amp;$A22)</f>
        <v>125.29</v>
      </c>
      <c r="V22" s="6">
        <f t="shared" si="6"/>
        <v>0.33296065591226104</v>
      </c>
      <c r="AB22">
        <v>3.09</v>
      </c>
      <c r="AC22">
        <v>22.01</v>
      </c>
      <c r="AD22">
        <v>74</v>
      </c>
      <c r="AJ22" s="72">
        <f>MacroData[[#This Row],[Year]]</f>
        <v>2019</v>
      </c>
      <c r="AK22">
        <f>MacroData[[#This Row],[Policy_Interest_Rate]]</f>
        <v>2.9</v>
      </c>
      <c r="AL22">
        <f>MacroData[[#This Row],[Market_Interest_Rate]]</f>
        <v>2.9</v>
      </c>
      <c r="AN22">
        <v>2020</v>
      </c>
      <c r="AO22">
        <v>13.01</v>
      </c>
      <c r="AR22" s="72">
        <f>MacroData[[#This Row],[Year]]</f>
        <v>2019</v>
      </c>
      <c r="AS22">
        <f>MacroData[[#This Row],[Headline_Inflation]]</f>
        <v>2.81</v>
      </c>
      <c r="AT22">
        <f>MacroData[[#This Row],[Core_Inflation]]</f>
        <v>2.4</v>
      </c>
      <c r="AU22">
        <f>MacroData[[#This Row],[Food_Inflation]]</f>
        <v>4.4000000000000004</v>
      </c>
      <c r="AV22">
        <f>MacroData[[#This Row],[Non_Food_Inflation]]</f>
        <v>1.8</v>
      </c>
      <c r="AW22">
        <f>MacroData[[#This Row],[PPI]]</f>
        <v>1.1000000000000001</v>
      </c>
      <c r="BB22" s="72">
        <f>MacroData[[#This Row],[Year]]</f>
        <v>2019</v>
      </c>
      <c r="BC22">
        <f>MacroData[[#This Row],[Unemployment_Rate]]</f>
        <v>6.31</v>
      </c>
      <c r="BD22">
        <f>MacroData[[#This Row],[Labour_Force_Part_Rate]]</f>
        <v>36.299999999999997</v>
      </c>
      <c r="BE22">
        <f>MacroData[[#This Row],[Female_LFPR]]</f>
        <v>49.85</v>
      </c>
      <c r="BF22" t="e">
        <f>INDEX(MacroData[Male_Wage_Growth],
MATCH(Control!A24, MacroData[Year],0))</f>
        <v>#N/A</v>
      </c>
      <c r="BG22" t="e">
        <f>INDEX(MacroData[Female_Wage_Growth],
MATCH(Control!A24, MacroData[Year],0))</f>
        <v>#N/A</v>
      </c>
      <c r="BH22" s="82" t="e">
        <f>INDEX(MacroData[Male_Wage_Growth],
MATCH(Control!A24, MacroData[Year],0))
-
INDEX(MacroData[Female_Wage_Growth],
MATCH(Control!A24, MacroData[Year],0))</f>
        <v>#N/A</v>
      </c>
      <c r="BJ22" s="72">
        <f>MacroData[[#This Row],[Year]]</f>
        <v>2019</v>
      </c>
      <c r="BK22">
        <f>MacroData[[#This Row],[Exports]]</f>
        <v>62.54</v>
      </c>
      <c r="BL22">
        <f>MacroData[[#This Row],[Imports]]</f>
        <v>125.29</v>
      </c>
      <c r="BM22">
        <f>MacroData[[#This Row],[Exchange_Rate_Movement]]</f>
        <v>0.89</v>
      </c>
      <c r="BN22">
        <f>MacroData[[#This Row],[FDI]]</f>
        <v>3.37</v>
      </c>
      <c r="BO22" s="82">
        <f>Table5[[#This Row],[Exports]] - Table5[[#This Row],[Imports]]</f>
        <v>-62.750000000000007</v>
      </c>
      <c r="BS22" s="72">
        <f>MacroData[[#This Row],[Year]]</f>
        <v>2019</v>
      </c>
      <c r="BT22">
        <f>MacroData[[#This Row],[Gov_Expenditure]]</f>
        <v>39</v>
      </c>
      <c r="BU22">
        <f>MacroData[[#This Row],[Budget_Deficit]]</f>
        <v>-0.4</v>
      </c>
      <c r="BV22">
        <f>MacroData[[#This Row],[Public_Debt]]</f>
        <v>37.9</v>
      </c>
      <c r="BW22">
        <f>MacroData[[#This Row],[Revenue_Taxation]]</f>
        <v>29</v>
      </c>
    </row>
    <row r="23" spans="1:75" x14ac:dyDescent="0.3">
      <c r="A23" s="75">
        <v>2020</v>
      </c>
      <c r="B23" s="2" t="str">
        <f t="shared" si="0"/>
        <v>20</v>
      </c>
      <c r="C23" s="2">
        <f t="shared" si="1"/>
        <v>0.52359999999999995</v>
      </c>
      <c r="D23">
        <f>GETPIVOTDATA(""&amp;D$1,Control!$W$3,"Year",""&amp;$A23)</f>
        <v>-3.47</v>
      </c>
      <c r="E23">
        <f>GETPIVOTDATA(""&amp;E$1,Control!$W$3,"Year",""&amp;$A23)</f>
        <v>-2.08</v>
      </c>
      <c r="F23" s="2">
        <f t="shared" si="2"/>
        <v>0.52359999999999995</v>
      </c>
      <c r="G23" t="e">
        <f>IFERROR(GETPIVOTDATA(""&amp;D$1,Control!$B$3,"Year",""&amp;$A23),NA())</f>
        <v>#N/A</v>
      </c>
      <c r="H23" t="e">
        <f>IFERROR(GETPIVOTDATA(""&amp;E$1,Control!$B$3,"Year",""&amp;$A23),NA())</f>
        <v>#N/A</v>
      </c>
      <c r="I23" t="e">
        <f t="shared" si="3"/>
        <v>#N/A</v>
      </c>
      <c r="J23" t="e">
        <f t="shared" si="4"/>
        <v>#N/A</v>
      </c>
      <c r="L23">
        <f>GETPIVOTDATA(""&amp;L$1,Control!$B$36,"Year",""&amp;$A23)</f>
        <v>89.08</v>
      </c>
      <c r="M23">
        <f>GETPIVOTDATA(""&amp;M$1,Control!$B$36,"Year",""&amp;$A23)</f>
        <v>83.9</v>
      </c>
      <c r="N23" s="6">
        <f t="shared" si="5"/>
        <v>0.51497282922881249</v>
      </c>
      <c r="T23">
        <f>GETPIVOTDATA(""&amp;T$1,Control!$B$66,"Year",""&amp;$A23)</f>
        <v>62.66</v>
      </c>
      <c r="U23">
        <f>GETPIVOTDATA(""&amp;U$1,Control!$C$66,"Year",""&amp;$A23)</f>
        <v>123.88</v>
      </c>
      <c r="V23" s="6">
        <f t="shared" si="6"/>
        <v>0.335906507987563</v>
      </c>
      <c r="AB23">
        <v>4.01</v>
      </c>
      <c r="AC23">
        <v>22.05</v>
      </c>
      <c r="AD23">
        <v>73.040000000000006</v>
      </c>
      <c r="AJ23" s="72">
        <f>MacroData[[#This Row],[Year]]</f>
        <v>2020</v>
      </c>
      <c r="AK23">
        <f>MacroData[[#This Row],[Policy_Interest_Rate]]</f>
        <v>3.1</v>
      </c>
      <c r="AL23">
        <f>MacroData[[#This Row],[Market_Interest_Rate]]</f>
        <v>3.1</v>
      </c>
      <c r="AN23">
        <v>2021</v>
      </c>
      <c r="AO23">
        <v>7.09</v>
      </c>
      <c r="AR23" s="72">
        <f>MacroData[[#This Row],[Year]]</f>
        <v>2020</v>
      </c>
      <c r="AS23">
        <f>MacroData[[#This Row],[Headline_Inflation]]</f>
        <v>0.22</v>
      </c>
      <c r="AT23">
        <f>MacroData[[#This Row],[Core_Inflation]]</f>
        <v>0.8</v>
      </c>
      <c r="AU23">
        <f>MacroData[[#This Row],[Food_Inflation]]</f>
        <v>1.8</v>
      </c>
      <c r="AV23">
        <f>MacroData[[#This Row],[Non_Food_Inflation]]</f>
        <v>-1.3</v>
      </c>
      <c r="AW23">
        <f>MacroData[[#This Row],[PPI]]</f>
        <v>-1.5</v>
      </c>
      <c r="BB23" s="72">
        <f>MacroData[[#This Row],[Year]]</f>
        <v>2020</v>
      </c>
      <c r="BC23">
        <f>MacroData[[#This Row],[Unemployment_Rate]]</f>
        <v>8.1</v>
      </c>
      <c r="BD23">
        <f>MacroData[[#This Row],[Labour_Force_Part_Rate]]</f>
        <v>34.840000000000003</v>
      </c>
      <c r="BE23">
        <f>MacroData[[#This Row],[Female_LFPR]]</f>
        <v>49.73</v>
      </c>
      <c r="BF23" t="e">
        <f>INDEX(MacroData[Male_Wage_Growth],
MATCH(Control!A25, MacroData[Year],0))</f>
        <v>#N/A</v>
      </c>
      <c r="BG23" t="e">
        <f>INDEX(MacroData[Female_Wage_Growth],
MATCH(Control!A25, MacroData[Year],0))</f>
        <v>#N/A</v>
      </c>
      <c r="BH23" s="82" t="e">
        <f>INDEX(MacroData[Male_Wage_Growth],
MATCH(Control!A25, MacroData[Year],0))
-
INDEX(MacroData[Female_Wage_Growth],
MATCH(Control!A25, MacroData[Year],0))</f>
        <v>#N/A</v>
      </c>
      <c r="BJ23" s="72">
        <f>MacroData[[#This Row],[Year]]</f>
        <v>2020</v>
      </c>
      <c r="BK23">
        <f>MacroData[[#This Row],[Exports]]</f>
        <v>62.66</v>
      </c>
      <c r="BL23">
        <f>MacroData[[#This Row],[Imports]]</f>
        <v>123.88</v>
      </c>
      <c r="BM23">
        <f>MacroData[[#This Row],[Exchange_Rate_Movement]]</f>
        <v>0.87</v>
      </c>
      <c r="BN23">
        <f>MacroData[[#This Row],[FDI]]</f>
        <v>2.81</v>
      </c>
      <c r="BO23" s="82">
        <f>Table5[[#This Row],[Exports]] - Table5[[#This Row],[Imports]]</f>
        <v>-61.22</v>
      </c>
      <c r="BS23" s="72">
        <f>MacroData[[#This Row],[Year]]</f>
        <v>2020</v>
      </c>
      <c r="BT23">
        <f>MacroData[[#This Row],[Gov_Expenditure]]</f>
        <v>42.6</v>
      </c>
      <c r="BU23">
        <f>MacroData[[#This Row],[Budget_Deficit]]</f>
        <v>-3.9</v>
      </c>
      <c r="BV23">
        <f>MacroData[[#This Row],[Public_Debt]]</f>
        <v>44</v>
      </c>
      <c r="BW23">
        <f>MacroData[[#This Row],[Revenue_Taxation]]</f>
        <v>30</v>
      </c>
    </row>
    <row r="24" spans="1:75" x14ac:dyDescent="0.3">
      <c r="A24" s="74">
        <v>2021</v>
      </c>
      <c r="B24" s="2" t="str">
        <f t="shared" si="0"/>
        <v>21</v>
      </c>
      <c r="C24" s="2">
        <f t="shared" si="1"/>
        <v>0.52359999999999995</v>
      </c>
      <c r="D24">
        <f>GETPIVOTDATA(""&amp;D$1,Control!$W$3,"Year",""&amp;$A24)</f>
        <v>6.94</v>
      </c>
      <c r="E24">
        <f>GETPIVOTDATA(""&amp;E$1,Control!$W$3,"Year",""&amp;$A24)</f>
        <v>7.08</v>
      </c>
      <c r="F24" s="2">
        <f t="shared" si="2"/>
        <v>0.52359999999999995</v>
      </c>
      <c r="G24" t="e">
        <f>IFERROR(GETPIVOTDATA(""&amp;D$1,Control!$B$3,"Year",""&amp;$A24),NA())</f>
        <v>#N/A</v>
      </c>
      <c r="H24" t="e">
        <f>IFERROR(GETPIVOTDATA(""&amp;E$1,Control!$B$3,"Year",""&amp;$A24),NA())</f>
        <v>#N/A</v>
      </c>
      <c r="I24" t="e">
        <f t="shared" si="3"/>
        <v>#N/A</v>
      </c>
      <c r="J24" t="e">
        <f t="shared" si="4"/>
        <v>#N/A</v>
      </c>
      <c r="L24">
        <f>GETPIVOTDATA(""&amp;L$1,Control!$B$36,"Year",""&amp;$A24)</f>
        <v>89.28</v>
      </c>
      <c r="M24">
        <f>GETPIVOTDATA(""&amp;M$1,Control!$B$36,"Year",""&amp;$A24)</f>
        <v>84.5</v>
      </c>
      <c r="N24" s="6">
        <f t="shared" si="5"/>
        <v>0.51375302106111176</v>
      </c>
      <c r="T24">
        <f>GETPIVOTDATA(""&amp;T$1,Control!$B$66,"Year",""&amp;$A24)</f>
        <v>66.81</v>
      </c>
      <c r="U24">
        <f>GETPIVOTDATA(""&amp;U$1,Control!$C$66,"Year",""&amp;$A24)</f>
        <v>136.80000000000001</v>
      </c>
      <c r="V24" s="6">
        <f t="shared" si="6"/>
        <v>0.3281273021953735</v>
      </c>
      <c r="AB24">
        <v>4.0199999999999996</v>
      </c>
      <c r="AC24">
        <v>23.05</v>
      </c>
      <c r="AD24">
        <v>72.03</v>
      </c>
      <c r="AJ24" s="72">
        <f>MacroData[[#This Row],[Year]]</f>
        <v>2021</v>
      </c>
      <c r="AK24">
        <f>MacroData[[#This Row],[Policy_Interest_Rate]]</f>
        <v>2.8</v>
      </c>
      <c r="AL24">
        <f>MacroData[[#This Row],[Market_Interest_Rate]]</f>
        <v>2.8</v>
      </c>
      <c r="AN24">
        <v>2022</v>
      </c>
      <c r="AO24">
        <v>6.04</v>
      </c>
      <c r="AR24" s="72">
        <f>MacroData[[#This Row],[Year]]</f>
        <v>2021</v>
      </c>
      <c r="AS24">
        <f>MacroData[[#This Row],[Headline_Inflation]]</f>
        <v>3.28</v>
      </c>
      <c r="AT24">
        <f>MacroData[[#This Row],[Core_Inflation]]</f>
        <v>2</v>
      </c>
      <c r="AU24">
        <f>MacroData[[#This Row],[Food_Inflation]]</f>
        <v>2.5</v>
      </c>
      <c r="AV24">
        <f>MacroData[[#This Row],[Non_Food_Inflation]]</f>
        <v>4.8</v>
      </c>
      <c r="AW24">
        <f>MacroData[[#This Row],[PPI]]</f>
        <v>13.5</v>
      </c>
      <c r="BB24" s="72">
        <f>MacroData[[#This Row],[Year]]</f>
        <v>2021</v>
      </c>
      <c r="BC24">
        <f>MacroData[[#This Row],[Unemployment_Rate]]</f>
        <v>7.51</v>
      </c>
      <c r="BD24">
        <f>MacroData[[#This Row],[Labour_Force_Part_Rate]]</f>
        <v>32.71</v>
      </c>
      <c r="BE24">
        <f>MacroData[[#This Row],[Female_LFPR]]</f>
        <v>49.39</v>
      </c>
      <c r="BF24" t="e">
        <f>INDEX(MacroData[Male_Wage_Growth],
MATCH(Control!A26, MacroData[Year],0))</f>
        <v>#N/A</v>
      </c>
      <c r="BG24" t="e">
        <f>INDEX(MacroData[Female_Wage_Growth],
MATCH(Control!A26, MacroData[Year],0))</f>
        <v>#N/A</v>
      </c>
      <c r="BH24" s="82" t="e">
        <f>INDEX(MacroData[Male_Wage_Growth],
MATCH(Control!A26, MacroData[Year],0))
-
INDEX(MacroData[Female_Wage_Growth],
MATCH(Control!A26, MacroData[Year],0))</f>
        <v>#N/A</v>
      </c>
      <c r="BJ24" s="72">
        <f>MacroData[[#This Row],[Year]]</f>
        <v>2021</v>
      </c>
      <c r="BK24">
        <f>MacroData[[#This Row],[Exports]]</f>
        <v>66.81</v>
      </c>
      <c r="BL24">
        <f>MacroData[[#This Row],[Imports]]</f>
        <v>136.80000000000001</v>
      </c>
      <c r="BM24">
        <f>MacroData[[#This Row],[Exchange_Rate_Movement]]</f>
        <v>0.84</v>
      </c>
      <c r="BN24">
        <f>MacroData[[#This Row],[FDI]]</f>
        <v>9.7799999999999994</v>
      </c>
      <c r="BO24" s="82">
        <f>Table5[[#This Row],[Exports]] - Table5[[#This Row],[Imports]]</f>
        <v>-69.990000000000009</v>
      </c>
      <c r="BS24" s="72">
        <f>MacroData[[#This Row],[Year]]</f>
        <v>2021</v>
      </c>
      <c r="BT24">
        <f>MacroData[[#This Row],[Gov_Expenditure]]</f>
        <v>44.6</v>
      </c>
      <c r="BU24">
        <f>MacroData[[#This Row],[Budget_Deficit]]</f>
        <v>-5.7</v>
      </c>
      <c r="BV24">
        <f>MacroData[[#This Row],[Public_Debt]]</f>
        <v>45.9</v>
      </c>
      <c r="BW24">
        <f>MacroData[[#This Row],[Revenue_Taxation]]</f>
        <v>31</v>
      </c>
    </row>
    <row r="25" spans="1:75" x14ac:dyDescent="0.3">
      <c r="A25" s="75">
        <v>2022</v>
      </c>
      <c r="B25" s="2" t="str">
        <f t="shared" si="0"/>
        <v>22</v>
      </c>
      <c r="C25" s="2">
        <f t="shared" si="1"/>
        <v>0.52359999999999995</v>
      </c>
      <c r="D25">
        <f>GETPIVOTDATA(""&amp;D$1,Control!$W$3,"Year",""&amp;$A25)</f>
        <v>1.81</v>
      </c>
      <c r="E25">
        <f>GETPIVOTDATA(""&amp;E$1,Control!$W$3,"Year",""&amp;$A25)</f>
        <v>2.0099999999999998</v>
      </c>
      <c r="F25" s="2">
        <f t="shared" si="2"/>
        <v>0.52359999999999995</v>
      </c>
      <c r="G25" t="e">
        <f>IFERROR(GETPIVOTDATA(""&amp;D$1,Control!$B$3,"Year",""&amp;$A25),NA())</f>
        <v>#N/A</v>
      </c>
      <c r="H25" t="e">
        <f>IFERROR(GETPIVOTDATA(""&amp;E$1,Control!$B$3,"Year",""&amp;$A25),NA())</f>
        <v>#N/A</v>
      </c>
      <c r="I25" t="e">
        <f t="shared" si="3"/>
        <v>#N/A</v>
      </c>
      <c r="J25" t="e">
        <f t="shared" si="4"/>
        <v>#N/A</v>
      </c>
      <c r="L25">
        <f>GETPIVOTDATA(""&amp;L$1,Control!$B$36,"Year",""&amp;$A25)</f>
        <v>89.18</v>
      </c>
      <c r="M25">
        <f>GETPIVOTDATA(""&amp;M$1,Control!$B$36,"Year",""&amp;$A25)</f>
        <v>84.82</v>
      </c>
      <c r="N25" s="6">
        <f t="shared" si="5"/>
        <v>0.51252873563218393</v>
      </c>
      <c r="T25">
        <f>GETPIVOTDATA(""&amp;T$1,Control!$B$66,"Year",""&amp;$A25)</f>
        <v>77.48</v>
      </c>
      <c r="U25">
        <f>GETPIVOTDATA(""&amp;U$1,Control!$C$66,"Year",""&amp;$A25)</f>
        <v>159.84</v>
      </c>
      <c r="V25" s="6">
        <f t="shared" si="6"/>
        <v>0.32647901567503795</v>
      </c>
      <c r="AB25">
        <v>4.03</v>
      </c>
      <c r="AC25">
        <v>22.08</v>
      </c>
      <c r="AD25">
        <v>72.09</v>
      </c>
      <c r="AJ25" s="72">
        <f>MacroData[[#This Row],[Year]]</f>
        <v>2022</v>
      </c>
      <c r="AK25">
        <f>MacroData[[#This Row],[Policy_Interest_Rate]]</f>
        <v>4.2</v>
      </c>
      <c r="AL25">
        <f>MacroData[[#This Row],[Market_Interest_Rate]]</f>
        <v>4.2</v>
      </c>
      <c r="AN25">
        <v>2023</v>
      </c>
      <c r="AO25">
        <v>2.0299999999999998</v>
      </c>
      <c r="AR25" s="72">
        <f>MacroData[[#This Row],[Year]]</f>
        <v>2022</v>
      </c>
      <c r="AS25">
        <f>MacroData[[#This Row],[Headline_Inflation]]</f>
        <v>17.309999999999999</v>
      </c>
      <c r="AT25">
        <f>MacroData[[#This Row],[Core_Inflation]]</f>
        <v>9.5</v>
      </c>
      <c r="AU25">
        <f>MacroData[[#This Row],[Food_Inflation]]</f>
        <v>21</v>
      </c>
      <c r="AV25">
        <f>MacroData[[#This Row],[Non_Food_Inflation]]</f>
        <v>25.4</v>
      </c>
      <c r="AW25">
        <f>MacroData[[#This Row],[PPI]]</f>
        <v>34</v>
      </c>
      <c r="BB25" s="72">
        <f>MacroData[[#This Row],[Year]]</f>
        <v>2022</v>
      </c>
      <c r="BC25">
        <f>MacroData[[#This Row],[Unemployment_Rate]]</f>
        <v>6.82</v>
      </c>
      <c r="BD25">
        <f>MacroData[[#This Row],[Labour_Force_Part_Rate]]</f>
        <v>36.14</v>
      </c>
      <c r="BE25">
        <f>MacroData[[#This Row],[Female_LFPR]]</f>
        <v>49.67</v>
      </c>
      <c r="BF25" t="e">
        <f>INDEX(MacroData[Male_Wage_Growth],
MATCH(Control!A27, MacroData[Year],0))</f>
        <v>#N/A</v>
      </c>
      <c r="BG25" t="e">
        <f>INDEX(MacroData[Female_Wage_Growth],
MATCH(Control!A27, MacroData[Year],0))</f>
        <v>#N/A</v>
      </c>
      <c r="BH25" s="82" t="e">
        <f>INDEX(MacroData[Male_Wage_Growth],
MATCH(Control!A27, MacroData[Year],0))
-
INDEX(MacroData[Female_Wage_Growth],
MATCH(Control!A27, MacroData[Year],0))</f>
        <v>#N/A</v>
      </c>
      <c r="BJ25" s="72">
        <f>MacroData[[#This Row],[Year]]</f>
        <v>2022</v>
      </c>
      <c r="BK25">
        <f>MacroData[[#This Row],[Exports]]</f>
        <v>77.48</v>
      </c>
      <c r="BL25">
        <f>MacroData[[#This Row],[Imports]]</f>
        <v>159.84</v>
      </c>
      <c r="BM25">
        <f>MacroData[[#This Row],[Exchange_Rate_Movement]]</f>
        <v>0.95</v>
      </c>
      <c r="BN25">
        <f>MacroData[[#This Row],[FDI]]</f>
        <v>3.2</v>
      </c>
      <c r="BO25" s="82">
        <f>Table5[[#This Row],[Exports]] - Table5[[#This Row],[Imports]]</f>
        <v>-82.36</v>
      </c>
      <c r="BS25" s="72">
        <f>MacroData[[#This Row],[Year]]</f>
        <v>2022</v>
      </c>
      <c r="BT25">
        <f>MacroData[[#This Row],[Gov_Expenditure]]</f>
        <v>43.5</v>
      </c>
      <c r="BU25">
        <f>MacroData[[#This Row],[Budget_Deficit]]</f>
        <v>-3.9</v>
      </c>
      <c r="BV25">
        <f>MacroData[[#This Row],[Public_Debt]]</f>
        <v>44.4</v>
      </c>
      <c r="BW25">
        <f>MacroData[[#This Row],[Revenue_Taxation]]</f>
        <v>32</v>
      </c>
    </row>
    <row r="26" spans="1:75" x14ac:dyDescent="0.3">
      <c r="A26" s="74">
        <v>2023</v>
      </c>
      <c r="B26" s="2" t="str">
        <f t="shared" si="0"/>
        <v>23</v>
      </c>
      <c r="C26" s="2">
        <f t="shared" si="1"/>
        <v>0.52359999999999995</v>
      </c>
      <c r="D26">
        <f>GETPIVOTDATA(""&amp;D$1,Control!$W$3,"Year",""&amp;$A26)</f>
        <v>2.85</v>
      </c>
      <c r="E26">
        <f>GETPIVOTDATA(""&amp;E$1,Control!$W$3,"Year",""&amp;$A26)</f>
        <v>3</v>
      </c>
      <c r="F26" s="2">
        <f t="shared" si="2"/>
        <v>0.52359999999999995</v>
      </c>
      <c r="G26" t="e">
        <f>IFERROR(GETPIVOTDATA(""&amp;D$1,Control!$B$3,"Year",""&amp;$A26),NA())</f>
        <v>#N/A</v>
      </c>
      <c r="H26" t="e">
        <f>IFERROR(GETPIVOTDATA(""&amp;E$1,Control!$B$3,"Year",""&amp;$A26),NA())</f>
        <v>#N/A</v>
      </c>
      <c r="I26" t="e">
        <f t="shared" si="3"/>
        <v>#N/A</v>
      </c>
      <c r="J26" t="e">
        <f t="shared" si="4"/>
        <v>#N/A</v>
      </c>
      <c r="L26">
        <f>GETPIVOTDATA(""&amp;L$1,Control!$B$36,"Year",""&amp;$A26)</f>
        <v>89.16</v>
      </c>
      <c r="M26">
        <f>GETPIVOTDATA(""&amp;M$1,Control!$B$36,"Year",""&amp;$A26)</f>
        <v>84.44</v>
      </c>
      <c r="N26" s="6">
        <f t="shared" si="5"/>
        <v>0.51359447004608294</v>
      </c>
      <c r="T26">
        <f>GETPIVOTDATA(""&amp;T$1,Control!$B$66,"Year",""&amp;$A26)</f>
        <v>66.459999999999994</v>
      </c>
      <c r="U26">
        <f>GETPIVOTDATA(""&amp;U$1,Control!$C$66,"Year",""&amp;$A26)</f>
        <v>136.63</v>
      </c>
      <c r="V26" s="6">
        <f t="shared" si="6"/>
        <v>0.32724407897976265</v>
      </c>
      <c r="AB26">
        <v>3.09</v>
      </c>
      <c r="AC26">
        <v>21.05</v>
      </c>
      <c r="AD26">
        <v>74.06</v>
      </c>
      <c r="AJ26" s="72">
        <f>MacroData[[#This Row],[Year]]</f>
        <v>2023</v>
      </c>
      <c r="AK26">
        <f>MacroData[[#This Row],[Policy_Interest_Rate]]</f>
        <v>5.8</v>
      </c>
      <c r="AL26">
        <f>MacroData[[#This Row],[Market_Interest_Rate]]</f>
        <v>5.8</v>
      </c>
      <c r="AN26">
        <v>2024</v>
      </c>
      <c r="AO26">
        <v>6.06</v>
      </c>
      <c r="AR26" s="72">
        <f>MacroData[[#This Row],[Year]]</f>
        <v>2023</v>
      </c>
      <c r="AS26">
        <f>MacroData[[#This Row],[Headline_Inflation]]</f>
        <v>8.94</v>
      </c>
      <c r="AT26">
        <f>MacroData[[#This Row],[Core_Inflation]]</f>
        <v>10</v>
      </c>
      <c r="AU26">
        <f>MacroData[[#This Row],[Food_Inflation]]</f>
        <v>11</v>
      </c>
      <c r="AV26">
        <f>MacroData[[#This Row],[Non_Food_Inflation]]</f>
        <v>10.199999999999999</v>
      </c>
      <c r="AW26">
        <f>MacroData[[#This Row],[PPI]]</f>
        <v>-4</v>
      </c>
      <c r="BB26" s="72">
        <f>MacroData[[#This Row],[Year]]</f>
        <v>2023</v>
      </c>
      <c r="BC26">
        <f>MacroData[[#This Row],[Unemployment_Rate]]</f>
        <v>6.47</v>
      </c>
      <c r="BD26">
        <f>MacroData[[#This Row],[Labour_Force_Part_Rate]]</f>
        <v>34.94</v>
      </c>
      <c r="BE26">
        <f>MacroData[[#This Row],[Female_LFPR]]</f>
        <v>49.7</v>
      </c>
      <c r="BF26" t="e">
        <f>INDEX(MacroData[Male_Wage_Growth],
MATCH(Control!A28, MacroData[Year],0))</f>
        <v>#N/A</v>
      </c>
      <c r="BG26" t="e">
        <f>INDEX(MacroData[Female_Wage_Growth],
MATCH(Control!A28, MacroData[Year],0))</f>
        <v>#N/A</v>
      </c>
      <c r="BH26" s="82" t="e">
        <f>INDEX(MacroData[Male_Wage_Growth],
MATCH(Control!A28, MacroData[Year],0))
-
INDEX(MacroData[Female_Wage_Growth],
MATCH(Control!A28, MacroData[Year],0))</f>
        <v>#N/A</v>
      </c>
      <c r="BJ26" s="72">
        <f>MacroData[[#This Row],[Year]]</f>
        <v>2023</v>
      </c>
      <c r="BK26">
        <f>MacroData[[#This Row],[Exports]]</f>
        <v>66.459999999999994</v>
      </c>
      <c r="BL26">
        <f>MacroData[[#This Row],[Imports]]</f>
        <v>136.63</v>
      </c>
      <c r="BM26">
        <f>MacroData[[#This Row],[Exchange_Rate_Movement]]</f>
        <v>0.92</v>
      </c>
      <c r="BN26">
        <f>MacroData[[#This Row],[FDI]]</f>
        <v>3.97</v>
      </c>
      <c r="BO26" s="82">
        <f>Table5[[#This Row],[Exports]] - Table5[[#This Row],[Imports]]</f>
        <v>-70.17</v>
      </c>
      <c r="BS26" s="72">
        <f>MacroData[[#This Row],[Year]]</f>
        <v>2023</v>
      </c>
      <c r="BT26">
        <f>MacroData[[#This Row],[Gov_Expenditure]]</f>
        <v>43.1</v>
      </c>
      <c r="BU26">
        <f>MacroData[[#This Row],[Budget_Deficit]]</f>
        <v>-3.4</v>
      </c>
      <c r="BV26">
        <f>MacroData[[#This Row],[Public_Debt]]</f>
        <v>44.6</v>
      </c>
      <c r="BW26">
        <f>MacroData[[#This Row],[Revenue_Taxation]]</f>
        <v>33</v>
      </c>
    </row>
    <row r="27" spans="1:75" x14ac:dyDescent="0.3">
      <c r="A27" s="75">
        <v>2024</v>
      </c>
      <c r="B27" s="2" t="str">
        <f t="shared" si="0"/>
        <v>24</v>
      </c>
      <c r="C27" s="2">
        <f t="shared" si="1"/>
        <v>0.52359999999999995</v>
      </c>
      <c r="D27">
        <f>GETPIVOTDATA(""&amp;D$1,Control!$W$3,"Year",""&amp;$A27)</f>
        <v>-0.44</v>
      </c>
      <c r="E27">
        <f>GETPIVOTDATA(""&amp;E$1,Control!$W$3,"Year",""&amp;$A27)</f>
        <v>0.04</v>
      </c>
      <c r="F27" s="2">
        <f t="shared" si="2"/>
        <v>0.52359999999999995</v>
      </c>
      <c r="G27" t="e">
        <f>IFERROR(GETPIVOTDATA(""&amp;D$1,Control!$B$3,"Year",""&amp;$A27),NA())</f>
        <v>#N/A</v>
      </c>
      <c r="H27" t="e">
        <f>IFERROR(GETPIVOTDATA(""&amp;E$1,Control!$B$3,"Year",""&amp;$A27),NA())</f>
        <v>#N/A</v>
      </c>
      <c r="I27" t="e">
        <f t="shared" si="3"/>
        <v>#N/A</v>
      </c>
      <c r="J27" t="e">
        <f t="shared" si="4"/>
        <v>#N/A</v>
      </c>
      <c r="L27">
        <f>GETPIVOTDATA(""&amp;L$1,Control!$B$36,"Year",""&amp;$A27)</f>
        <v>88.47</v>
      </c>
      <c r="M27">
        <f>GETPIVOTDATA(""&amp;M$1,Control!$B$36,"Year",""&amp;$A27)</f>
        <v>84</v>
      </c>
      <c r="N27" s="6">
        <f t="shared" si="5"/>
        <v>0.51295877543920676</v>
      </c>
      <c r="T27">
        <f>GETPIVOTDATA(""&amp;T$1,Control!$B$66,"Year",""&amp;$A27)</f>
        <v>64.62</v>
      </c>
      <c r="U27">
        <f>GETPIVOTDATA(""&amp;U$1,Control!$C$66,"Year",""&amp;$A27)</f>
        <v>67.180000000000007</v>
      </c>
      <c r="V27" s="6">
        <f>T27/SUM(T27:U27)</f>
        <v>0.49028831562974201</v>
      </c>
      <c r="AB27">
        <v>4.01</v>
      </c>
      <c r="AC27">
        <v>21.02</v>
      </c>
      <c r="AD27">
        <v>74.069999999999993</v>
      </c>
      <c r="AJ27" s="72">
        <f>MacroData[[#This Row],[Year]]</f>
        <v>2024</v>
      </c>
      <c r="AK27">
        <f>MacroData[[#This Row],[Policy_Interest_Rate]]</f>
        <v>4.8</v>
      </c>
      <c r="AL27">
        <f>MacroData[[#This Row],[Market_Interest_Rate]]</f>
        <v>4.8</v>
      </c>
      <c r="AR27" s="72">
        <f>MacroData[[#This Row],[Year]]</f>
        <v>2024</v>
      </c>
      <c r="AS27">
        <f>MacroData[[#This Row],[Headline_Inflation]]</f>
        <v>1.24</v>
      </c>
      <c r="AT27">
        <f>MacroData[[#This Row],[Core_Inflation]]</f>
        <v>3.6</v>
      </c>
      <c r="AU27">
        <f>MacroData[[#This Row],[Food_Inflation]]</f>
        <v>2.8</v>
      </c>
      <c r="AV27">
        <f>MacroData[[#This Row],[Non_Food_Inflation]]</f>
        <v>0.5</v>
      </c>
      <c r="AW27">
        <f>MacroData[[#This Row],[PPI]]</f>
        <v>-3.8</v>
      </c>
      <c r="BB27" s="72">
        <f>MacroData[[#This Row],[Year]]</f>
        <v>2024</v>
      </c>
      <c r="BC27">
        <f>MacroData[[#This Row],[Unemployment_Rate]]</f>
        <v>6.72</v>
      </c>
      <c r="BD27">
        <f>MacroData[[#This Row],[Labour_Force_Part_Rate]]</f>
        <v>34.700000000000003</v>
      </c>
      <c r="BE27">
        <f>MacroData[[#This Row],[Female_LFPR]]</f>
        <v>49.84</v>
      </c>
      <c r="BF27" t="e">
        <f>INDEX(MacroData[Male_Wage_Growth],
MATCH(Control!A29, MacroData[Year],0))</f>
        <v>#N/A</v>
      </c>
      <c r="BG27" t="e">
        <f>INDEX(MacroData[Female_Wage_Growth],
MATCH(Control!A29, MacroData[Year],0))</f>
        <v>#N/A</v>
      </c>
      <c r="BH27" s="82" t="e">
        <f>INDEX(MacroData[Male_Wage_Growth],
MATCH(Control!A29, MacroData[Year],0))
-
INDEX(MacroData[Female_Wage_Growth],
MATCH(Control!A29, MacroData[Year],0))</f>
        <v>#N/A</v>
      </c>
      <c r="BJ27" s="72">
        <f>MacroData[[#This Row],[Year]]</f>
        <v>2024</v>
      </c>
      <c r="BK27">
        <f>MacroData[[#This Row],[Exports]]</f>
        <v>64.62</v>
      </c>
      <c r="BL27">
        <f>MacroData[[#This Row],[Imports]]</f>
        <v>67.180000000000007</v>
      </c>
      <c r="BM27">
        <f>MacroData[[#This Row],[Exchange_Rate_Movement]]</f>
        <v>0.93</v>
      </c>
      <c r="BN27">
        <f>MacroData[[#This Row],[FDI]]</f>
        <v>2.96</v>
      </c>
      <c r="BO27" s="82">
        <f>Table5[[#This Row],[Exports]] - Table5[[#This Row],[Imports]]</f>
        <v>-2.5600000000000023</v>
      </c>
      <c r="BS27" s="72">
        <f>MacroData[[#This Row],[Year]]</f>
        <v>2024</v>
      </c>
      <c r="BT27">
        <f>MacroData[[#This Row],[Gov_Expenditure]]</f>
        <v>44.5</v>
      </c>
      <c r="BU27">
        <f>MacroData[[#This Row],[Budget_Deficit]]</f>
        <v>-1.8</v>
      </c>
      <c r="BV27">
        <f>MacroData[[#This Row],[Public_Debt]]</f>
        <v>46.6</v>
      </c>
      <c r="BW27">
        <f>MacroData[[#This Row],[Revenue_Taxation]]</f>
        <v>34.9</v>
      </c>
    </row>
    <row r="28" spans="1:75" x14ac:dyDescent="0.3">
      <c r="C28" s="5">
        <f>MAX(D2:E27)*4%</f>
        <v>0.52359999999999995</v>
      </c>
      <c r="D28" s="9">
        <f>GETPIVOTDATA("Sum of Real_GDP_Growth",Control!$A$3)</f>
        <v>26.219999999999995</v>
      </c>
      <c r="E28" s="9">
        <f>GETPIVOTDATA("Sum of GDP_Per_Capita_Growth",Control!$A$3)</f>
        <v>37.220000000000006</v>
      </c>
      <c r="L28" s="9">
        <f>GETPIVOTDATA("Sum of Male_Wage_Growth",Control!$A$3)</f>
        <v>890.1099999999999</v>
      </c>
      <c r="M28" s="9">
        <f>GETPIVOTDATA("Sum of Female_Wage_Growth",Control!$A$3)</f>
        <v>836.56</v>
      </c>
      <c r="N28" s="76">
        <f>L28/SUM(L28:M28)</f>
        <v>0.51550672682099064</v>
      </c>
      <c r="T28" s="9">
        <f>GETPIVOTDATA("Sum of Exports",Control!$A$3)</f>
        <v>517.92999999999995</v>
      </c>
      <c r="U28" s="9">
        <f>GETPIVOTDATA("Sum of Imports",Control!$A$3)</f>
        <v>1129.22</v>
      </c>
      <c r="V28" s="76">
        <f>T28/SUM(T28:U28)</f>
        <v>0.31444009349482432</v>
      </c>
      <c r="AB28" s="9">
        <f>GETPIVOTDATA("Sum of Agriculture",Control!$A$3)</f>
        <v>35.330000000000005</v>
      </c>
      <c r="AC28" s="9">
        <f>GETPIVOTDATA("Sum of Industry",Control!$A$3)</f>
        <v>217.48999999999998</v>
      </c>
      <c r="AD28" s="9">
        <f>GETPIVOTDATA("Sum of Services",Control!$A$3)</f>
        <v>736.38</v>
      </c>
    </row>
  </sheetData>
  <pageMargins left="0.7" right="0.7" top="0.75" bottom="0.75" header="0.3" footer="0.3"/>
  <tableParts count="5">
    <tablePart r:id="rId1"/>
    <tablePart r:id="rId2"/>
    <tablePart r:id="rId3"/>
    <tablePart r:id="rId4"/>
    <tablePart r:id="rId5"/>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F76E9-C8B1-4C07-B2A2-E90ABBD0B890}">
  <dimension ref="A1:AC27"/>
  <sheetViews>
    <sheetView topLeftCell="W1" workbookViewId="0">
      <selection activeCell="AE1" sqref="AE1"/>
    </sheetView>
  </sheetViews>
  <sheetFormatPr defaultRowHeight="14.4" x14ac:dyDescent="0.3"/>
  <cols>
    <col min="1" max="1" width="8.88671875" style="72"/>
    <col min="2" max="2" width="17.77734375" customWidth="1"/>
    <col min="3" max="3" width="23.21875" customWidth="1"/>
    <col min="4" max="4" width="12" customWidth="1"/>
    <col min="5" max="5" width="9.6640625" customWidth="1"/>
    <col min="6" max="6" width="10" customWidth="1"/>
    <col min="7" max="7" width="25.21875" customWidth="1"/>
    <col min="8" max="8" width="19.77734375" customWidth="1"/>
    <col min="9" max="9" width="20.44140625" customWidth="1"/>
    <col min="10" max="10" width="14.77734375" customWidth="1"/>
    <col min="11" max="11" width="14.88671875" customWidth="1"/>
    <col min="12" max="12" width="18.109375" customWidth="1"/>
    <col min="13" max="13" width="14.44140625" customWidth="1"/>
    <col min="14" max="14" width="14.6640625" customWidth="1"/>
    <col min="15" max="15" width="18.77734375" customWidth="1"/>
    <col min="17" max="17" width="20.21875" customWidth="1"/>
    <col min="18" max="18" width="22.77734375" customWidth="1"/>
    <col min="19" max="19" width="15.6640625" customWidth="1"/>
    <col min="20" max="20" width="19" customWidth="1"/>
    <col min="21" max="21" width="21.21875" customWidth="1"/>
    <col min="22" max="23" width="15.6640625" customWidth="1"/>
    <col min="24" max="24" width="24.6640625" customWidth="1"/>
    <col min="25" max="25" width="15.6640625" customWidth="1"/>
    <col min="26" max="26" width="16.88671875" customWidth="1"/>
    <col min="27" max="28" width="15.6640625" customWidth="1"/>
    <col min="29" max="29" width="17.6640625" customWidth="1"/>
  </cols>
  <sheetData>
    <row r="1" spans="1:29" x14ac:dyDescent="0.3">
      <c r="A1" s="71" t="s">
        <v>59</v>
      </c>
      <c r="B1" s="64" t="s">
        <v>60</v>
      </c>
      <c r="C1" s="64" t="s">
        <v>61</v>
      </c>
      <c r="D1" s="64" t="s">
        <v>62</v>
      </c>
      <c r="E1" s="64" t="s">
        <v>63</v>
      </c>
      <c r="F1" s="64" t="s">
        <v>64</v>
      </c>
      <c r="G1" s="64" t="s">
        <v>65</v>
      </c>
      <c r="H1" s="65" t="s">
        <v>66</v>
      </c>
      <c r="I1" s="65" t="s">
        <v>67</v>
      </c>
      <c r="J1" s="65" t="s">
        <v>68</v>
      </c>
      <c r="K1" s="65" t="s">
        <v>69</v>
      </c>
      <c r="L1" s="66" t="s">
        <v>70</v>
      </c>
      <c r="M1" s="66" t="s">
        <v>71</v>
      </c>
      <c r="N1" s="66" t="s">
        <v>72</v>
      </c>
      <c r="O1" s="66" t="s">
        <v>73</v>
      </c>
      <c r="P1" s="66" t="s">
        <v>74</v>
      </c>
      <c r="Q1" s="67" t="s">
        <v>75</v>
      </c>
      <c r="R1" s="67" t="s">
        <v>76</v>
      </c>
      <c r="S1" s="67" t="s">
        <v>77</v>
      </c>
      <c r="T1" s="67" t="s">
        <v>78</v>
      </c>
      <c r="U1" s="67" t="s">
        <v>79</v>
      </c>
      <c r="V1" s="65" t="s">
        <v>80</v>
      </c>
      <c r="W1" s="65" t="s">
        <v>81</v>
      </c>
      <c r="X1" s="65" t="s">
        <v>82</v>
      </c>
      <c r="Y1" s="65" t="s">
        <v>83</v>
      </c>
      <c r="Z1" s="68" t="s">
        <v>84</v>
      </c>
      <c r="AA1" s="68" t="s">
        <v>85</v>
      </c>
      <c r="AB1" s="68" t="s">
        <v>86</v>
      </c>
      <c r="AC1" s="68" t="s">
        <v>87</v>
      </c>
    </row>
    <row r="2" spans="1:29" x14ac:dyDescent="0.3">
      <c r="A2" s="72">
        <v>1999</v>
      </c>
      <c r="B2" s="59">
        <v>2.82</v>
      </c>
      <c r="C2" s="59">
        <v>3.07</v>
      </c>
      <c r="D2" s="59">
        <v>4.5</v>
      </c>
      <c r="E2" s="59">
        <v>23.08</v>
      </c>
      <c r="F2" s="59">
        <v>71.069999999999993</v>
      </c>
      <c r="G2" s="59">
        <v>63.08</v>
      </c>
      <c r="H2" s="60">
        <v>14.2</v>
      </c>
      <c r="I2" s="60">
        <v>14.2</v>
      </c>
      <c r="J2" s="60">
        <v>15</v>
      </c>
      <c r="K2" s="60">
        <v>15.3</v>
      </c>
      <c r="L2" s="61">
        <v>2.36</v>
      </c>
      <c r="M2" s="61">
        <v>2.9</v>
      </c>
      <c r="N2" s="61">
        <v>-2</v>
      </c>
      <c r="O2" s="61">
        <v>4.0999999999999996</v>
      </c>
      <c r="P2" s="61">
        <v>-2</v>
      </c>
      <c r="Q2" s="62">
        <v>13.79</v>
      </c>
      <c r="R2" s="62">
        <v>42.32</v>
      </c>
      <c r="S2" s="62">
        <v>47.59</v>
      </c>
      <c r="T2" s="62">
        <v>83.11</v>
      </c>
      <c r="U2" s="62">
        <v>79.7</v>
      </c>
      <c r="V2" s="60">
        <v>36.03</v>
      </c>
      <c r="W2" s="60">
        <v>82.15</v>
      </c>
      <c r="X2" s="60">
        <v>0.57999999999999996</v>
      </c>
      <c r="Y2" s="60">
        <v>4.75</v>
      </c>
      <c r="Z2" s="63">
        <v>40.4</v>
      </c>
      <c r="AA2" s="63">
        <v>-3.5</v>
      </c>
      <c r="AB2" s="63">
        <v>14.8</v>
      </c>
      <c r="AC2" s="63">
        <v>21</v>
      </c>
    </row>
    <row r="3" spans="1:29" x14ac:dyDescent="0.3">
      <c r="A3" s="72">
        <v>2000</v>
      </c>
      <c r="B3" s="59">
        <v>5.84</v>
      </c>
      <c r="C3" s="59">
        <v>6.09</v>
      </c>
      <c r="D3" s="59">
        <v>4.09</v>
      </c>
      <c r="E3" s="59">
        <v>23.05</v>
      </c>
      <c r="F3" s="59">
        <v>71.06</v>
      </c>
      <c r="G3" s="59">
        <v>62.6</v>
      </c>
      <c r="H3" s="60">
        <v>12.5</v>
      </c>
      <c r="I3" s="60">
        <v>12.5</v>
      </c>
      <c r="J3" s="60">
        <v>28</v>
      </c>
      <c r="K3" s="60">
        <v>36.5</v>
      </c>
      <c r="L3" s="61">
        <v>2.65</v>
      </c>
      <c r="M3" s="61">
        <v>2.4</v>
      </c>
      <c r="N3" s="61">
        <v>-0.1</v>
      </c>
      <c r="O3" s="61">
        <v>3.1</v>
      </c>
      <c r="P3" s="61">
        <v>0.6</v>
      </c>
      <c r="Q3" s="62">
        <v>14.21</v>
      </c>
      <c r="R3" s="62">
        <v>38.44</v>
      </c>
      <c r="S3" s="62">
        <v>48.04</v>
      </c>
      <c r="T3" s="62">
        <v>84.61</v>
      </c>
      <c r="U3" s="62">
        <v>81.48</v>
      </c>
      <c r="V3" s="60">
        <v>37.72</v>
      </c>
      <c r="W3" s="60">
        <v>83.61</v>
      </c>
      <c r="X3" s="60">
        <v>0.61</v>
      </c>
      <c r="Y3" s="60">
        <v>4.18</v>
      </c>
      <c r="Z3" s="63">
        <v>37</v>
      </c>
      <c r="AA3" s="63">
        <v>-2.6</v>
      </c>
      <c r="AB3" s="63">
        <v>15.1</v>
      </c>
      <c r="AC3" s="63">
        <v>23</v>
      </c>
    </row>
    <row r="4" spans="1:29" x14ac:dyDescent="0.3">
      <c r="A4" s="72">
        <v>2001</v>
      </c>
      <c r="B4" s="59">
        <v>6.46</v>
      </c>
      <c r="C4" s="59">
        <v>7.08</v>
      </c>
      <c r="D4" s="59">
        <v>4.07</v>
      </c>
      <c r="E4" s="59">
        <v>23.01</v>
      </c>
      <c r="F4" s="59">
        <v>72.02</v>
      </c>
      <c r="G4" s="59">
        <v>63.3</v>
      </c>
      <c r="H4" s="60">
        <v>11.1</v>
      </c>
      <c r="I4" s="60">
        <v>11.1</v>
      </c>
      <c r="J4" s="60">
        <v>21</v>
      </c>
      <c r="K4" s="60">
        <v>48.2</v>
      </c>
      <c r="L4" s="61">
        <v>2.4900000000000002</v>
      </c>
      <c r="M4" s="61">
        <v>2.2000000000000002</v>
      </c>
      <c r="N4" s="61">
        <v>3.8</v>
      </c>
      <c r="O4" s="61">
        <v>2</v>
      </c>
      <c r="P4" s="61">
        <v>0.2</v>
      </c>
      <c r="Q4" s="62">
        <v>13.82</v>
      </c>
      <c r="R4" s="62">
        <v>37.4</v>
      </c>
      <c r="S4" s="62">
        <v>48.77</v>
      </c>
      <c r="T4" s="62">
        <v>84.25</v>
      </c>
      <c r="U4" s="62">
        <v>80.16</v>
      </c>
      <c r="V4" s="60">
        <v>38.799999999999997</v>
      </c>
      <c r="W4" s="60">
        <v>88.18</v>
      </c>
      <c r="X4" s="60">
        <v>0.62</v>
      </c>
      <c r="Y4" s="60">
        <v>2.12</v>
      </c>
      <c r="Z4" s="63">
        <v>35</v>
      </c>
      <c r="AA4" s="63">
        <v>-2</v>
      </c>
      <c r="AB4" s="63">
        <v>17.8</v>
      </c>
      <c r="AC4" s="63">
        <v>25</v>
      </c>
    </row>
    <row r="5" spans="1:29" x14ac:dyDescent="0.3">
      <c r="A5" s="72">
        <v>2002</v>
      </c>
      <c r="B5" s="59">
        <v>7.67</v>
      </c>
      <c r="C5" s="59">
        <v>8.09</v>
      </c>
      <c r="D5" s="59">
        <v>4.07</v>
      </c>
      <c r="E5" s="59">
        <v>22.08</v>
      </c>
      <c r="F5" s="59">
        <v>72.05</v>
      </c>
      <c r="G5" s="59">
        <v>63.9</v>
      </c>
      <c r="H5" s="60">
        <v>8.8000000000000007</v>
      </c>
      <c r="I5" s="60">
        <v>8.8000000000000007</v>
      </c>
      <c r="J5" s="60">
        <v>21</v>
      </c>
      <c r="K5" s="60">
        <v>41.1</v>
      </c>
      <c r="L5" s="61">
        <v>1.94</v>
      </c>
      <c r="M5" s="61">
        <v>2</v>
      </c>
      <c r="N5" s="61">
        <v>1.5</v>
      </c>
      <c r="O5" s="61">
        <v>1.8</v>
      </c>
      <c r="P5" s="61">
        <v>1</v>
      </c>
      <c r="Q5" s="62">
        <v>13.83</v>
      </c>
      <c r="R5" s="62">
        <v>37.85</v>
      </c>
      <c r="S5" s="62">
        <v>48.74</v>
      </c>
      <c r="T5" s="62">
        <v>85.46</v>
      </c>
      <c r="U5" s="62">
        <v>80.83</v>
      </c>
      <c r="V5" s="60">
        <v>37.76</v>
      </c>
      <c r="W5" s="60">
        <v>85.98</v>
      </c>
      <c r="X5" s="60">
        <v>0.61</v>
      </c>
      <c r="Y5" s="60">
        <v>1.73</v>
      </c>
      <c r="Z5" s="63">
        <v>35.4</v>
      </c>
      <c r="AA5" s="63">
        <v>-2.6</v>
      </c>
      <c r="AB5" s="63">
        <v>15.4</v>
      </c>
      <c r="AC5" s="63">
        <v>24</v>
      </c>
    </row>
    <row r="6" spans="1:29" x14ac:dyDescent="0.3">
      <c r="A6" s="72">
        <v>2003</v>
      </c>
      <c r="B6" s="59">
        <v>8.43</v>
      </c>
      <c r="C6" s="59">
        <v>9.0500000000000007</v>
      </c>
      <c r="D6" s="59">
        <v>4.03</v>
      </c>
      <c r="E6" s="59">
        <v>22.01</v>
      </c>
      <c r="F6" s="59">
        <v>73.06</v>
      </c>
      <c r="G6" s="59">
        <v>64.900000000000006</v>
      </c>
      <c r="H6" s="60">
        <v>7.4</v>
      </c>
      <c r="I6" s="60">
        <v>7.4</v>
      </c>
      <c r="J6" s="60">
        <v>19</v>
      </c>
      <c r="K6" s="60">
        <v>52.5</v>
      </c>
      <c r="L6" s="61">
        <v>2.94</v>
      </c>
      <c r="M6" s="61">
        <v>2.1</v>
      </c>
      <c r="N6" s="61">
        <v>2.4</v>
      </c>
      <c r="O6" s="61">
        <v>3</v>
      </c>
      <c r="P6" s="61">
        <v>3.2</v>
      </c>
      <c r="Q6" s="62">
        <v>12.06</v>
      </c>
      <c r="R6" s="62">
        <v>38.869999999999997</v>
      </c>
      <c r="S6" s="62">
        <v>48.94</v>
      </c>
      <c r="T6" s="62">
        <v>85.6</v>
      </c>
      <c r="U6" s="62">
        <v>81.33</v>
      </c>
      <c r="V6" s="60">
        <v>37.74</v>
      </c>
      <c r="W6" s="60">
        <v>88.58</v>
      </c>
      <c r="X6" s="60">
        <v>0.56999999999999995</v>
      </c>
      <c r="Y6" s="60">
        <v>2.82</v>
      </c>
      <c r="Z6" s="63">
        <v>34.4</v>
      </c>
      <c r="AA6" s="63">
        <v>-1.7</v>
      </c>
      <c r="AB6" s="63">
        <v>15.4</v>
      </c>
      <c r="AC6" s="63">
        <v>23</v>
      </c>
    </row>
    <row r="7" spans="1:29" x14ac:dyDescent="0.3">
      <c r="A7" s="72">
        <v>2004</v>
      </c>
      <c r="B7" s="59">
        <v>8.73</v>
      </c>
      <c r="C7" s="59">
        <v>9.09</v>
      </c>
      <c r="D7" s="59">
        <v>4.05</v>
      </c>
      <c r="E7" s="59">
        <v>21.05</v>
      </c>
      <c r="F7" s="59">
        <v>74</v>
      </c>
      <c r="G7" s="59">
        <v>64.7</v>
      </c>
      <c r="H7" s="60">
        <v>6.9</v>
      </c>
      <c r="I7" s="60">
        <v>6.9</v>
      </c>
      <c r="J7" s="60">
        <v>27</v>
      </c>
      <c r="K7" s="60">
        <v>46</v>
      </c>
      <c r="L7" s="61">
        <v>6.19</v>
      </c>
      <c r="M7" s="61">
        <v>4.4000000000000004</v>
      </c>
      <c r="N7" s="61">
        <v>9</v>
      </c>
      <c r="O7" s="61">
        <v>4.9000000000000004</v>
      </c>
      <c r="P7" s="61">
        <v>6.5</v>
      </c>
      <c r="Q7" s="62">
        <v>11.71</v>
      </c>
      <c r="R7" s="62">
        <v>36.97</v>
      </c>
      <c r="S7" s="62">
        <v>48.54</v>
      </c>
      <c r="T7" s="62">
        <v>85.13</v>
      </c>
      <c r="U7" s="62">
        <v>82.02</v>
      </c>
      <c r="V7" s="60">
        <v>40.630000000000003</v>
      </c>
      <c r="W7" s="60">
        <v>97.24</v>
      </c>
      <c r="X7" s="60">
        <v>0.54</v>
      </c>
      <c r="Y7" s="60">
        <v>4.28</v>
      </c>
      <c r="Z7" s="63">
        <v>34.799999999999997</v>
      </c>
      <c r="AA7" s="63">
        <v>-1</v>
      </c>
      <c r="AB7" s="63">
        <v>15.3</v>
      </c>
      <c r="AC7" s="63">
        <v>23</v>
      </c>
    </row>
    <row r="8" spans="1:29" x14ac:dyDescent="0.3">
      <c r="A8" s="72">
        <v>2005</v>
      </c>
      <c r="B8" s="59">
        <v>11.62</v>
      </c>
      <c r="C8" s="59">
        <v>12.08</v>
      </c>
      <c r="D8" s="59">
        <v>4.0199999999999996</v>
      </c>
      <c r="E8" s="59">
        <v>21.03</v>
      </c>
      <c r="F8" s="59">
        <v>74.05</v>
      </c>
      <c r="G8" s="59">
        <v>65.3</v>
      </c>
      <c r="H8" s="60">
        <v>5.5</v>
      </c>
      <c r="I8" s="60">
        <v>5.5</v>
      </c>
      <c r="J8" s="60">
        <v>38</v>
      </c>
      <c r="K8" s="60">
        <v>62.7</v>
      </c>
      <c r="L8" s="61">
        <v>6.75</v>
      </c>
      <c r="M8" s="61">
        <v>5.0999999999999996</v>
      </c>
      <c r="N8" s="61">
        <v>8.8000000000000007</v>
      </c>
      <c r="O8" s="61">
        <v>5.9</v>
      </c>
      <c r="P8" s="61">
        <v>8.5</v>
      </c>
      <c r="Q8" s="62">
        <v>10.029999999999999</v>
      </c>
      <c r="R8" s="62">
        <v>38.049999999999997</v>
      </c>
      <c r="S8" s="62">
        <v>48.49</v>
      </c>
      <c r="T8" s="62">
        <v>87.79</v>
      </c>
      <c r="U8" s="62">
        <v>82.97</v>
      </c>
      <c r="V8" s="60">
        <v>44.81</v>
      </c>
      <c r="W8" s="60">
        <v>104.52</v>
      </c>
      <c r="X8" s="60">
        <v>0.56000000000000005</v>
      </c>
      <c r="Y8" s="60">
        <v>4.97</v>
      </c>
      <c r="Z8" s="63">
        <v>35.799999999999997</v>
      </c>
      <c r="AA8" s="63">
        <v>-1.1000000000000001</v>
      </c>
      <c r="AB8" s="63">
        <v>12.5</v>
      </c>
      <c r="AC8" s="63">
        <v>24</v>
      </c>
    </row>
    <row r="9" spans="1:29" x14ac:dyDescent="0.3">
      <c r="A9" s="72">
        <v>2006</v>
      </c>
      <c r="B9" s="59">
        <v>12.83</v>
      </c>
      <c r="C9" s="59">
        <v>13.09</v>
      </c>
      <c r="D9" s="59">
        <v>3.06</v>
      </c>
      <c r="E9" s="59">
        <v>20.09</v>
      </c>
      <c r="F9" s="59">
        <v>75.05</v>
      </c>
      <c r="G9" s="59">
        <v>67.2</v>
      </c>
      <c r="H9" s="60">
        <v>6.2</v>
      </c>
      <c r="I9" s="60">
        <v>6.2</v>
      </c>
      <c r="J9" s="60">
        <v>41</v>
      </c>
      <c r="K9" s="60">
        <v>57</v>
      </c>
      <c r="L9" s="61">
        <v>6.54</v>
      </c>
      <c r="M9" s="61">
        <v>5.8</v>
      </c>
      <c r="N9" s="61">
        <v>9.5</v>
      </c>
      <c r="O9" s="61">
        <v>5.4</v>
      </c>
      <c r="P9" s="61">
        <v>10</v>
      </c>
      <c r="Q9" s="62">
        <v>7.03</v>
      </c>
      <c r="R9" s="62">
        <v>40.9</v>
      </c>
      <c r="S9" s="62">
        <v>48.47</v>
      </c>
      <c r="T9" s="62">
        <v>88.56</v>
      </c>
      <c r="U9" s="62">
        <v>83.74</v>
      </c>
      <c r="V9" s="60">
        <v>41.95</v>
      </c>
      <c r="W9" s="60">
        <v>105.7</v>
      </c>
      <c r="X9" s="60">
        <v>0.56000000000000005</v>
      </c>
      <c r="Y9" s="60">
        <v>8.35</v>
      </c>
      <c r="Z9" s="63">
        <v>35.5</v>
      </c>
      <c r="AA9" s="63">
        <v>-0.5</v>
      </c>
      <c r="AB9" s="63">
        <v>10.7</v>
      </c>
      <c r="AC9" s="63">
        <v>25</v>
      </c>
    </row>
    <row r="10" spans="1:29" x14ac:dyDescent="0.3">
      <c r="A10" s="72">
        <v>2007</v>
      </c>
      <c r="B10" s="59">
        <v>10.41</v>
      </c>
      <c r="C10" s="59">
        <v>11.03</v>
      </c>
      <c r="D10" s="59">
        <v>3.03</v>
      </c>
      <c r="E10" s="59">
        <v>20.059999999999999</v>
      </c>
      <c r="F10" s="59">
        <v>76.010000000000005</v>
      </c>
      <c r="G10" s="59">
        <v>66.3</v>
      </c>
      <c r="H10" s="60">
        <v>8.5</v>
      </c>
      <c r="I10" s="60">
        <v>8.5</v>
      </c>
      <c r="J10" s="60">
        <v>13</v>
      </c>
      <c r="K10" s="60">
        <v>34.200000000000003</v>
      </c>
      <c r="L10" s="61">
        <v>10.09</v>
      </c>
      <c r="M10" s="61">
        <v>9</v>
      </c>
      <c r="N10" s="61">
        <v>12.3</v>
      </c>
      <c r="O10" s="61">
        <v>9.1</v>
      </c>
      <c r="P10" s="61">
        <v>15</v>
      </c>
      <c r="Q10" s="62">
        <v>6.05</v>
      </c>
      <c r="R10" s="62">
        <v>42.64</v>
      </c>
      <c r="S10" s="62">
        <v>48.29</v>
      </c>
      <c r="T10" s="62">
        <v>88.94</v>
      </c>
      <c r="U10" s="62">
        <v>84.17</v>
      </c>
      <c r="V10" s="60">
        <v>40.39</v>
      </c>
      <c r="W10" s="60">
        <v>100.88</v>
      </c>
      <c r="X10" s="60">
        <v>0.51</v>
      </c>
      <c r="Y10" s="60">
        <v>9.2200000000000006</v>
      </c>
      <c r="Z10" s="63">
        <v>34.799999999999997</v>
      </c>
      <c r="AA10" s="63">
        <v>0.6</v>
      </c>
      <c r="AB10" s="63">
        <v>9</v>
      </c>
      <c r="AC10" s="63">
        <v>26</v>
      </c>
    </row>
    <row r="11" spans="1:29" x14ac:dyDescent="0.3">
      <c r="A11" s="72">
        <v>2008</v>
      </c>
      <c r="B11" s="59">
        <v>-3.39</v>
      </c>
      <c r="C11" s="59">
        <v>-2.04</v>
      </c>
      <c r="D11" s="59">
        <v>3.01</v>
      </c>
      <c r="E11" s="59">
        <v>20.079999999999998</v>
      </c>
      <c r="F11" s="59">
        <v>76.010000000000005</v>
      </c>
      <c r="G11" s="59">
        <v>64.099999999999994</v>
      </c>
      <c r="H11" s="60">
        <v>11.4</v>
      </c>
      <c r="I11" s="60">
        <v>11.4</v>
      </c>
      <c r="J11" s="60">
        <v>-2</v>
      </c>
      <c r="K11" s="60">
        <v>12.3</v>
      </c>
      <c r="L11" s="61">
        <v>15.04</v>
      </c>
      <c r="M11" s="61">
        <v>13.5</v>
      </c>
      <c r="N11" s="61">
        <v>19.5</v>
      </c>
      <c r="O11" s="61">
        <v>13.1</v>
      </c>
      <c r="P11" s="61">
        <v>12</v>
      </c>
      <c r="Q11" s="62">
        <v>7.74</v>
      </c>
      <c r="R11" s="62">
        <v>42.87</v>
      </c>
      <c r="S11" s="62">
        <v>48.98</v>
      </c>
      <c r="T11" s="62">
        <v>89.88</v>
      </c>
      <c r="U11" s="62">
        <v>84.36</v>
      </c>
      <c r="V11" s="60">
        <v>41.23</v>
      </c>
      <c r="W11" s="60">
        <v>95.77</v>
      </c>
      <c r="X11" s="60">
        <v>0.48</v>
      </c>
      <c r="Y11" s="60">
        <v>4.2</v>
      </c>
      <c r="Z11" s="63">
        <v>38.200000000000003</v>
      </c>
      <c r="AA11" s="63">
        <v>-3.3</v>
      </c>
      <c r="AB11" s="63">
        <v>19.3</v>
      </c>
      <c r="AC11" s="63">
        <v>26</v>
      </c>
    </row>
    <row r="12" spans="1:29" x14ac:dyDescent="0.3">
      <c r="A12" s="72">
        <v>2009</v>
      </c>
      <c r="B12" s="59">
        <v>-16.04</v>
      </c>
      <c r="C12" s="59">
        <v>-14.06</v>
      </c>
      <c r="D12" s="59">
        <v>3.04</v>
      </c>
      <c r="E12" s="59">
        <v>20.02</v>
      </c>
      <c r="F12" s="59">
        <v>76.040000000000006</v>
      </c>
      <c r="G12" s="59">
        <v>61.3</v>
      </c>
      <c r="H12" s="60">
        <v>14.8</v>
      </c>
      <c r="I12" s="60">
        <v>14.8</v>
      </c>
      <c r="J12" s="60">
        <v>-5</v>
      </c>
      <c r="K12" s="60">
        <v>-7.4</v>
      </c>
      <c r="L12" s="61">
        <v>3.53</v>
      </c>
      <c r="M12" s="61">
        <v>3.8</v>
      </c>
      <c r="N12" s="61">
        <v>2.1</v>
      </c>
      <c r="O12" s="61">
        <v>1.4</v>
      </c>
      <c r="P12" s="61">
        <v>-3.5</v>
      </c>
      <c r="Q12" s="62">
        <v>17.52</v>
      </c>
      <c r="R12" s="62">
        <v>41.25</v>
      </c>
      <c r="S12" s="62">
        <v>49.8</v>
      </c>
      <c r="T12" s="62">
        <v>89.25</v>
      </c>
      <c r="U12" s="62">
        <v>83.54</v>
      </c>
      <c r="V12" s="60">
        <v>43.4</v>
      </c>
      <c r="W12" s="60">
        <v>88.83</v>
      </c>
      <c r="X12" s="60">
        <v>0.51</v>
      </c>
      <c r="Y12" s="60">
        <v>-0.57999999999999996</v>
      </c>
      <c r="Z12" s="63">
        <v>43.6</v>
      </c>
      <c r="AA12" s="63">
        <v>-7.1</v>
      </c>
      <c r="AB12" s="63">
        <v>37.6</v>
      </c>
      <c r="AC12" s="63">
        <v>24</v>
      </c>
    </row>
    <row r="13" spans="1:29" x14ac:dyDescent="0.3">
      <c r="A13" s="72">
        <v>2010</v>
      </c>
      <c r="B13" s="59">
        <v>-3.66</v>
      </c>
      <c r="C13" s="59">
        <v>-1.06</v>
      </c>
      <c r="D13" s="59">
        <v>4.01</v>
      </c>
      <c r="E13" s="59">
        <v>22.06</v>
      </c>
      <c r="F13" s="59">
        <v>73.03</v>
      </c>
      <c r="G13" s="59">
        <v>61.6</v>
      </c>
      <c r="H13" s="60">
        <v>9.1999999999999993</v>
      </c>
      <c r="I13" s="60">
        <v>9.1999999999999993</v>
      </c>
      <c r="J13" s="60">
        <v>7</v>
      </c>
      <c r="K13" s="60">
        <v>-8.8000000000000007</v>
      </c>
      <c r="L13" s="61">
        <v>-1.08</v>
      </c>
      <c r="M13" s="61">
        <v>-2.5</v>
      </c>
      <c r="N13" s="61">
        <v>1</v>
      </c>
      <c r="O13" s="61">
        <v>-2.2000000000000002</v>
      </c>
      <c r="P13" s="61">
        <v>1.4</v>
      </c>
      <c r="Q13" s="62">
        <v>19.48</v>
      </c>
      <c r="R13" s="62">
        <v>39.75</v>
      </c>
      <c r="S13" s="62">
        <v>50.39</v>
      </c>
      <c r="T13" s="62">
        <v>88.88</v>
      </c>
      <c r="U13" s="62">
        <v>83.57</v>
      </c>
      <c r="V13" s="60">
        <v>54.37</v>
      </c>
      <c r="W13" s="60">
        <v>110.86</v>
      </c>
      <c r="X13" s="60">
        <v>0.53</v>
      </c>
      <c r="Y13" s="60">
        <v>2.02</v>
      </c>
      <c r="Z13" s="63">
        <v>43.6</v>
      </c>
      <c r="AA13" s="63">
        <v>-6.6</v>
      </c>
      <c r="AB13" s="63">
        <v>48.2</v>
      </c>
      <c r="AC13" s="63">
        <v>23</v>
      </c>
    </row>
    <row r="14" spans="1:29" x14ac:dyDescent="0.3">
      <c r="A14" s="72">
        <v>2011</v>
      </c>
      <c r="B14" s="59">
        <v>3.04</v>
      </c>
      <c r="C14" s="59">
        <v>4.09</v>
      </c>
      <c r="D14" s="59">
        <v>4.03</v>
      </c>
      <c r="E14" s="59">
        <v>24</v>
      </c>
      <c r="F14" s="59">
        <v>71.069999999999993</v>
      </c>
      <c r="G14" s="59">
        <v>61.4</v>
      </c>
      <c r="H14" s="60">
        <v>6.4</v>
      </c>
      <c r="I14" s="60">
        <v>6.4</v>
      </c>
      <c r="J14" s="60">
        <v>2</v>
      </c>
      <c r="K14" s="60">
        <v>-11.2</v>
      </c>
      <c r="L14" s="61">
        <v>4.37</v>
      </c>
      <c r="M14" s="61">
        <v>2.6</v>
      </c>
      <c r="N14" s="61">
        <v>7.9</v>
      </c>
      <c r="O14" s="61">
        <v>4.0999999999999996</v>
      </c>
      <c r="P14" s="61">
        <v>8.1999999999999993</v>
      </c>
      <c r="Q14" s="62">
        <v>16.21</v>
      </c>
      <c r="R14" s="62">
        <v>37.479999999999997</v>
      </c>
      <c r="S14" s="62">
        <v>49.94</v>
      </c>
      <c r="T14" s="62">
        <v>89.02</v>
      </c>
      <c r="U14" s="62">
        <v>83.66</v>
      </c>
      <c r="V14" s="60">
        <v>61.8</v>
      </c>
      <c r="W14" s="60">
        <v>129.72999999999999</v>
      </c>
      <c r="X14" s="60">
        <v>0.51</v>
      </c>
      <c r="Y14" s="60">
        <v>5.72</v>
      </c>
      <c r="Z14" s="63">
        <v>41.2</v>
      </c>
      <c r="AA14" s="63">
        <v>-3.4</v>
      </c>
      <c r="AB14" s="63">
        <v>46.8</v>
      </c>
      <c r="AC14" s="63">
        <v>24</v>
      </c>
    </row>
    <row r="15" spans="1:29" x14ac:dyDescent="0.3">
      <c r="A15" s="72">
        <v>2012</v>
      </c>
      <c r="B15" s="59">
        <v>7.31</v>
      </c>
      <c r="C15" s="59">
        <v>8.06</v>
      </c>
      <c r="D15" s="59">
        <v>4.05</v>
      </c>
      <c r="E15" s="59">
        <v>24.03</v>
      </c>
      <c r="F15" s="59">
        <v>71.02</v>
      </c>
      <c r="G15" s="59">
        <v>62.4</v>
      </c>
      <c r="H15" s="60">
        <v>5.0999999999999996</v>
      </c>
      <c r="I15" s="60">
        <v>5.0999999999999996</v>
      </c>
      <c r="J15" s="60">
        <v>6</v>
      </c>
      <c r="K15" s="60">
        <v>-6.5</v>
      </c>
      <c r="L15" s="61">
        <v>2.2599999999999998</v>
      </c>
      <c r="M15" s="61">
        <v>1.6</v>
      </c>
      <c r="N15" s="61">
        <v>2.2000000000000002</v>
      </c>
      <c r="O15" s="61">
        <v>2.5</v>
      </c>
      <c r="P15" s="61">
        <v>3.8</v>
      </c>
      <c r="Q15" s="62">
        <v>15.05</v>
      </c>
      <c r="R15" s="62">
        <v>40.15</v>
      </c>
      <c r="S15" s="62">
        <v>50.01</v>
      </c>
      <c r="T15" s="62">
        <v>89.27</v>
      </c>
      <c r="U15" s="62">
        <v>83.62</v>
      </c>
      <c r="V15" s="60">
        <v>63.83</v>
      </c>
      <c r="W15" s="60">
        <v>133.21</v>
      </c>
      <c r="X15" s="60">
        <v>0.54</v>
      </c>
      <c r="Y15" s="60">
        <v>3.99</v>
      </c>
      <c r="Z15" s="63">
        <v>38.6</v>
      </c>
      <c r="AA15" s="63">
        <v>0.2</v>
      </c>
      <c r="AB15" s="63">
        <v>44.4</v>
      </c>
      <c r="AC15" s="63">
        <v>24</v>
      </c>
    </row>
    <row r="16" spans="1:29" x14ac:dyDescent="0.3">
      <c r="A16" s="72">
        <v>2013</v>
      </c>
      <c r="B16" s="59">
        <v>2.0099999999999998</v>
      </c>
      <c r="C16" s="59">
        <v>3.02</v>
      </c>
      <c r="D16" s="59">
        <v>4.01</v>
      </c>
      <c r="E16" s="59">
        <v>23.08</v>
      </c>
      <c r="F16" s="59">
        <v>72.010000000000005</v>
      </c>
      <c r="G16" s="59">
        <v>62.1</v>
      </c>
      <c r="H16" s="60">
        <v>4.3</v>
      </c>
      <c r="I16" s="60">
        <v>4.3</v>
      </c>
      <c r="J16" s="60">
        <v>13</v>
      </c>
      <c r="K16" s="60">
        <v>-5.2</v>
      </c>
      <c r="L16" s="61">
        <v>-0.03</v>
      </c>
      <c r="M16" s="61">
        <v>0.3</v>
      </c>
      <c r="N16" s="61">
        <v>1.2</v>
      </c>
      <c r="O16" s="61">
        <v>-1.1000000000000001</v>
      </c>
      <c r="P16" s="61">
        <v>0.7</v>
      </c>
      <c r="Q16" s="62">
        <v>11.87</v>
      </c>
      <c r="R16" s="62">
        <v>39.369999999999997</v>
      </c>
      <c r="S16" s="62">
        <v>49.99</v>
      </c>
      <c r="T16" s="62">
        <v>89.24</v>
      </c>
      <c r="U16" s="62">
        <v>83.52</v>
      </c>
      <c r="V16" s="60">
        <v>62.58</v>
      </c>
      <c r="W16" s="60">
        <v>129.68</v>
      </c>
      <c r="X16" s="60">
        <v>0.53</v>
      </c>
      <c r="Y16" s="60">
        <v>3.39</v>
      </c>
      <c r="Z16" s="63">
        <v>38.700000000000003</v>
      </c>
      <c r="AA16" s="63">
        <v>-0.6</v>
      </c>
      <c r="AB16" s="63">
        <v>41.8</v>
      </c>
      <c r="AC16" s="63">
        <v>25</v>
      </c>
    </row>
    <row r="17" spans="1:29" x14ac:dyDescent="0.3">
      <c r="A17" s="72">
        <v>2014</v>
      </c>
      <c r="B17" s="59">
        <v>2.09</v>
      </c>
      <c r="C17" s="59">
        <v>3.01</v>
      </c>
      <c r="D17" s="59">
        <v>3.07</v>
      </c>
      <c r="E17" s="59">
        <v>23.04</v>
      </c>
      <c r="F17" s="59">
        <v>72.09</v>
      </c>
      <c r="G17" s="59">
        <v>61.3</v>
      </c>
      <c r="H17" s="60">
        <v>3.8</v>
      </c>
      <c r="I17" s="60">
        <v>3.8</v>
      </c>
      <c r="J17" s="60">
        <v>8.02</v>
      </c>
      <c r="K17" s="60">
        <v>-4.0999999999999996</v>
      </c>
      <c r="L17" s="61">
        <v>0.62</v>
      </c>
      <c r="M17" s="61">
        <v>0.9</v>
      </c>
      <c r="N17" s="61">
        <v>0.4</v>
      </c>
      <c r="O17" s="61">
        <v>0.8</v>
      </c>
      <c r="P17" s="61">
        <v>-0.3</v>
      </c>
      <c r="Q17" s="62">
        <v>10.85</v>
      </c>
      <c r="R17" s="62">
        <v>40.43</v>
      </c>
      <c r="S17" s="62">
        <v>49.59</v>
      </c>
      <c r="T17" s="62">
        <v>89.28</v>
      </c>
      <c r="U17" s="62">
        <v>83.41</v>
      </c>
      <c r="V17" s="60">
        <v>63.57</v>
      </c>
      <c r="W17" s="60">
        <v>130.04</v>
      </c>
      <c r="X17" s="60">
        <v>0.75</v>
      </c>
      <c r="Y17" s="60">
        <v>3.45</v>
      </c>
      <c r="Z17" s="63">
        <v>39.200000000000003</v>
      </c>
      <c r="AA17" s="63">
        <v>-1.7</v>
      </c>
      <c r="AB17" s="63">
        <v>43.1</v>
      </c>
      <c r="AC17" s="63">
        <v>26</v>
      </c>
    </row>
    <row r="18" spans="1:29" x14ac:dyDescent="0.3">
      <c r="A18" s="72">
        <v>2015</v>
      </c>
      <c r="B18" s="59">
        <v>3.78</v>
      </c>
      <c r="C18" s="59">
        <v>4.0599999999999996</v>
      </c>
      <c r="D18" s="59">
        <v>3.09</v>
      </c>
      <c r="E18" s="59">
        <v>23.03</v>
      </c>
      <c r="F18" s="59">
        <v>72.08</v>
      </c>
      <c r="G18" s="59">
        <v>60.8</v>
      </c>
      <c r="H18" s="60">
        <v>3.5</v>
      </c>
      <c r="I18" s="60">
        <v>3.5</v>
      </c>
      <c r="J18" s="60">
        <v>8.0399999999999991</v>
      </c>
      <c r="K18" s="60">
        <v>-2.8</v>
      </c>
      <c r="L18" s="61">
        <v>0.17</v>
      </c>
      <c r="M18" s="61">
        <v>1.2</v>
      </c>
      <c r="N18" s="61">
        <v>-0.3</v>
      </c>
      <c r="O18" s="61">
        <v>-0.1</v>
      </c>
      <c r="P18" s="61">
        <v>-1.1000000000000001</v>
      </c>
      <c r="Q18" s="62">
        <v>9.8699999999999992</v>
      </c>
      <c r="R18" s="62">
        <v>41.29</v>
      </c>
      <c r="S18" s="62">
        <v>49.56</v>
      </c>
      <c r="T18" s="62">
        <v>89.15</v>
      </c>
      <c r="U18" s="62">
        <v>83.18</v>
      </c>
      <c r="V18" s="60">
        <v>62.6</v>
      </c>
      <c r="W18" s="60">
        <v>126.38</v>
      </c>
      <c r="X18" s="60">
        <v>0.91</v>
      </c>
      <c r="Y18" s="60">
        <v>3.09</v>
      </c>
      <c r="Z18" s="63">
        <v>38.700000000000003</v>
      </c>
      <c r="AA18" s="63">
        <v>-1.6</v>
      </c>
      <c r="AB18" s="63">
        <v>38.299999999999997</v>
      </c>
      <c r="AC18" s="63">
        <v>26</v>
      </c>
    </row>
    <row r="19" spans="1:29" x14ac:dyDescent="0.3">
      <c r="A19" s="72">
        <v>2016</v>
      </c>
      <c r="B19" s="59">
        <v>2.5499999999999998</v>
      </c>
      <c r="C19" s="59">
        <v>3.05</v>
      </c>
      <c r="D19" s="59">
        <v>3.09</v>
      </c>
      <c r="E19" s="59">
        <v>24.01</v>
      </c>
      <c r="F19" s="59">
        <v>72</v>
      </c>
      <c r="G19" s="59">
        <v>61.5</v>
      </c>
      <c r="H19" s="60">
        <v>3.2</v>
      </c>
      <c r="I19" s="60">
        <v>3.2</v>
      </c>
      <c r="J19" s="60">
        <v>6.08</v>
      </c>
      <c r="K19" s="60">
        <v>-1.5</v>
      </c>
      <c r="L19" s="61">
        <v>0.14000000000000001</v>
      </c>
      <c r="M19" s="61">
        <v>1</v>
      </c>
      <c r="N19" s="61">
        <v>-0.7</v>
      </c>
      <c r="O19" s="61">
        <v>-0.6</v>
      </c>
      <c r="P19" s="61">
        <v>-1.7</v>
      </c>
      <c r="Q19" s="62">
        <v>9.64</v>
      </c>
      <c r="R19" s="62">
        <v>39.700000000000003</v>
      </c>
      <c r="S19" s="62">
        <v>50.08</v>
      </c>
      <c r="T19" s="62">
        <v>89</v>
      </c>
      <c r="U19" s="62">
        <v>83.07</v>
      </c>
      <c r="V19" s="60">
        <v>61.93</v>
      </c>
      <c r="W19" s="60">
        <v>123.33</v>
      </c>
      <c r="X19" s="60">
        <v>0.91</v>
      </c>
      <c r="Y19" s="60">
        <v>1.24</v>
      </c>
      <c r="Z19" s="63">
        <v>37.4</v>
      </c>
      <c r="AA19" s="63">
        <v>-0.5</v>
      </c>
      <c r="AB19" s="63">
        <v>41.7</v>
      </c>
      <c r="AC19" s="63">
        <v>27</v>
      </c>
    </row>
    <row r="20" spans="1:29" x14ac:dyDescent="0.3">
      <c r="A20" s="72">
        <v>2017</v>
      </c>
      <c r="B20" s="59">
        <v>3.04</v>
      </c>
      <c r="C20" s="59">
        <v>4.03</v>
      </c>
      <c r="D20" s="59">
        <v>3.09</v>
      </c>
      <c r="E20" s="59">
        <v>22.04</v>
      </c>
      <c r="F20" s="59">
        <v>73.069999999999993</v>
      </c>
      <c r="G20" s="59">
        <v>61.3</v>
      </c>
      <c r="H20" s="60">
        <v>2.9</v>
      </c>
      <c r="I20" s="60">
        <v>2.9</v>
      </c>
      <c r="J20" s="60">
        <v>3.02</v>
      </c>
      <c r="K20" s="60">
        <v>0.2</v>
      </c>
      <c r="L20" s="61">
        <v>2.93</v>
      </c>
      <c r="M20" s="61">
        <v>1.9</v>
      </c>
      <c r="N20" s="61">
        <v>4.9000000000000004</v>
      </c>
      <c r="O20" s="61">
        <v>2.2000000000000002</v>
      </c>
      <c r="P20" s="61">
        <v>3.2</v>
      </c>
      <c r="Q20" s="62">
        <v>8.7200000000000006</v>
      </c>
      <c r="R20" s="62">
        <v>39.76</v>
      </c>
      <c r="S20" s="62">
        <v>49.89</v>
      </c>
      <c r="T20" s="62">
        <v>89.47</v>
      </c>
      <c r="U20" s="62">
        <v>84.05</v>
      </c>
      <c r="V20" s="60">
        <v>64.14</v>
      </c>
      <c r="W20" s="60">
        <v>128.71</v>
      </c>
      <c r="X20" s="60">
        <v>0.88</v>
      </c>
      <c r="Y20" s="60">
        <v>4.05</v>
      </c>
      <c r="Z20" s="63">
        <v>37.799999999999997</v>
      </c>
      <c r="AA20" s="63">
        <v>-0.9</v>
      </c>
      <c r="AB20" s="63">
        <v>40.299999999999997</v>
      </c>
      <c r="AC20" s="63">
        <v>28</v>
      </c>
    </row>
    <row r="21" spans="1:29" x14ac:dyDescent="0.3">
      <c r="A21" s="72">
        <v>2018</v>
      </c>
      <c r="B21" s="59">
        <v>4.3099999999999996</v>
      </c>
      <c r="C21" s="59">
        <v>5.01</v>
      </c>
      <c r="D21" s="59">
        <v>3.07</v>
      </c>
      <c r="E21" s="59">
        <v>22.09</v>
      </c>
      <c r="F21" s="59">
        <v>73.040000000000006</v>
      </c>
      <c r="G21" s="59">
        <v>61.1</v>
      </c>
      <c r="H21" s="60">
        <v>2.8</v>
      </c>
      <c r="I21" s="60">
        <v>2.8</v>
      </c>
      <c r="J21" s="60">
        <v>13.08</v>
      </c>
      <c r="K21" s="60">
        <v>1.8</v>
      </c>
      <c r="L21" s="61">
        <v>2.5299999999999998</v>
      </c>
      <c r="M21" s="61">
        <v>2</v>
      </c>
      <c r="N21" s="61">
        <v>1.3</v>
      </c>
      <c r="O21" s="61">
        <v>3.1</v>
      </c>
      <c r="P21" s="61">
        <v>4.3</v>
      </c>
      <c r="Q21" s="62">
        <v>7.41</v>
      </c>
      <c r="R21" s="62">
        <v>37.729999999999997</v>
      </c>
      <c r="S21" s="62">
        <v>49.89</v>
      </c>
      <c r="T21" s="62">
        <v>89.58</v>
      </c>
      <c r="U21" s="62">
        <v>83.97</v>
      </c>
      <c r="V21" s="60">
        <v>63.87</v>
      </c>
      <c r="W21" s="60">
        <v>128.22999999999999</v>
      </c>
      <c r="X21" s="60">
        <v>0.85</v>
      </c>
      <c r="Y21" s="60">
        <v>1.32</v>
      </c>
      <c r="Z21" s="63">
        <v>39.4</v>
      </c>
      <c r="AA21" s="63">
        <v>-0.8</v>
      </c>
      <c r="AB21" s="63">
        <v>38.299999999999997</v>
      </c>
      <c r="AC21" s="63">
        <v>28</v>
      </c>
    </row>
    <row r="22" spans="1:29" x14ac:dyDescent="0.3">
      <c r="A22" s="72">
        <v>2019</v>
      </c>
      <c r="B22" s="59">
        <v>0.68</v>
      </c>
      <c r="C22" s="59">
        <v>1.04</v>
      </c>
      <c r="D22" s="59">
        <v>3.09</v>
      </c>
      <c r="E22" s="59">
        <v>22.01</v>
      </c>
      <c r="F22" s="59">
        <v>74</v>
      </c>
      <c r="G22" s="59">
        <v>61</v>
      </c>
      <c r="H22" s="60">
        <v>2.9</v>
      </c>
      <c r="I22" s="60">
        <v>2.9</v>
      </c>
      <c r="J22" s="60">
        <v>8</v>
      </c>
      <c r="K22" s="60">
        <v>2.1</v>
      </c>
      <c r="L22" s="61">
        <v>2.81</v>
      </c>
      <c r="M22" s="61">
        <v>2.4</v>
      </c>
      <c r="N22" s="61">
        <v>4.4000000000000004</v>
      </c>
      <c r="O22" s="61">
        <v>1.8</v>
      </c>
      <c r="P22" s="61">
        <v>1.1000000000000001</v>
      </c>
      <c r="Q22" s="62">
        <v>6.31</v>
      </c>
      <c r="R22" s="62">
        <v>36.299999999999997</v>
      </c>
      <c r="S22" s="62">
        <v>49.85</v>
      </c>
      <c r="T22" s="62">
        <v>89.61</v>
      </c>
      <c r="U22" s="62">
        <v>84.35</v>
      </c>
      <c r="V22" s="60">
        <v>62.54</v>
      </c>
      <c r="W22" s="60">
        <v>125.29</v>
      </c>
      <c r="X22" s="60">
        <v>0.89</v>
      </c>
      <c r="Y22" s="60">
        <v>3.37</v>
      </c>
      <c r="Z22" s="63">
        <v>39</v>
      </c>
      <c r="AA22" s="63">
        <v>-0.4</v>
      </c>
      <c r="AB22" s="63">
        <v>37.9</v>
      </c>
      <c r="AC22" s="63">
        <v>29</v>
      </c>
    </row>
    <row r="23" spans="1:29" x14ac:dyDescent="0.3">
      <c r="A23" s="72">
        <v>2020</v>
      </c>
      <c r="B23" s="59">
        <v>-3.47</v>
      </c>
      <c r="C23" s="59">
        <v>-2.08</v>
      </c>
      <c r="D23" s="59">
        <v>4.01</v>
      </c>
      <c r="E23" s="59">
        <v>22.05</v>
      </c>
      <c r="F23" s="59">
        <v>73.040000000000006</v>
      </c>
      <c r="G23" s="59">
        <v>58.7</v>
      </c>
      <c r="H23" s="60">
        <v>3.1</v>
      </c>
      <c r="I23" s="60">
        <v>3.1</v>
      </c>
      <c r="J23" s="60">
        <v>13.01</v>
      </c>
      <c r="K23" s="60">
        <v>-1.1000000000000001</v>
      </c>
      <c r="L23" s="61">
        <v>0.22</v>
      </c>
      <c r="M23" s="61">
        <v>0.8</v>
      </c>
      <c r="N23" s="61">
        <v>1.8</v>
      </c>
      <c r="O23" s="61">
        <v>-1.3</v>
      </c>
      <c r="P23" s="61">
        <v>-1.5</v>
      </c>
      <c r="Q23" s="62">
        <v>8.1</v>
      </c>
      <c r="R23" s="62">
        <v>34.840000000000003</v>
      </c>
      <c r="S23" s="62">
        <v>49.73</v>
      </c>
      <c r="T23" s="62">
        <v>89.08</v>
      </c>
      <c r="U23" s="62">
        <v>83.9</v>
      </c>
      <c r="V23" s="60">
        <v>62.66</v>
      </c>
      <c r="W23" s="60">
        <v>123.88</v>
      </c>
      <c r="X23" s="60">
        <v>0.87</v>
      </c>
      <c r="Y23" s="60">
        <v>2.81</v>
      </c>
      <c r="Z23" s="63">
        <v>42.6</v>
      </c>
      <c r="AA23" s="63">
        <v>-3.9</v>
      </c>
      <c r="AB23" s="63">
        <v>44</v>
      </c>
      <c r="AC23" s="63">
        <v>30</v>
      </c>
    </row>
    <row r="24" spans="1:29" x14ac:dyDescent="0.3">
      <c r="A24" s="72">
        <v>2021</v>
      </c>
      <c r="B24" s="59">
        <v>6.94</v>
      </c>
      <c r="C24" s="59">
        <v>7.08</v>
      </c>
      <c r="D24" s="59">
        <v>4.0199999999999996</v>
      </c>
      <c r="E24" s="59">
        <v>23.05</v>
      </c>
      <c r="F24" s="59">
        <v>72.03</v>
      </c>
      <c r="G24" s="59">
        <v>59.5</v>
      </c>
      <c r="H24" s="60">
        <v>2.8</v>
      </c>
      <c r="I24" s="60">
        <v>2.8</v>
      </c>
      <c r="J24" s="60">
        <v>7.09</v>
      </c>
      <c r="K24" s="60">
        <v>3.2</v>
      </c>
      <c r="L24" s="61">
        <v>3.28</v>
      </c>
      <c r="M24" s="61">
        <v>2</v>
      </c>
      <c r="N24" s="61">
        <v>2.5</v>
      </c>
      <c r="O24" s="61">
        <v>4.8</v>
      </c>
      <c r="P24" s="61">
        <v>13.5</v>
      </c>
      <c r="Q24" s="62">
        <v>7.51</v>
      </c>
      <c r="R24" s="62">
        <v>32.71</v>
      </c>
      <c r="S24" s="62">
        <v>49.39</v>
      </c>
      <c r="T24" s="62">
        <v>89.28</v>
      </c>
      <c r="U24" s="62">
        <v>84.5</v>
      </c>
      <c r="V24" s="60">
        <v>66.81</v>
      </c>
      <c r="W24" s="60">
        <v>136.80000000000001</v>
      </c>
      <c r="X24" s="60">
        <v>0.84</v>
      </c>
      <c r="Y24" s="60">
        <v>9.7799999999999994</v>
      </c>
      <c r="Z24" s="63">
        <v>44.6</v>
      </c>
      <c r="AA24" s="63">
        <v>-5.7</v>
      </c>
      <c r="AB24" s="63">
        <v>45.9</v>
      </c>
      <c r="AC24" s="63">
        <v>31</v>
      </c>
    </row>
    <row r="25" spans="1:29" x14ac:dyDescent="0.3">
      <c r="A25" s="72">
        <v>2022</v>
      </c>
      <c r="B25" s="59">
        <v>1.81</v>
      </c>
      <c r="C25" s="59">
        <v>2.0099999999999998</v>
      </c>
      <c r="D25" s="59">
        <v>4.03</v>
      </c>
      <c r="E25" s="59">
        <v>22.08</v>
      </c>
      <c r="F25" s="59">
        <v>72.09</v>
      </c>
      <c r="G25" s="59">
        <v>64.099999999999994</v>
      </c>
      <c r="H25" s="60">
        <v>4.2</v>
      </c>
      <c r="I25" s="60">
        <v>4.2</v>
      </c>
      <c r="J25" s="60">
        <v>6.04</v>
      </c>
      <c r="K25" s="60">
        <v>7.5</v>
      </c>
      <c r="L25" s="61">
        <v>17.309999999999999</v>
      </c>
      <c r="M25" s="61">
        <v>9.5</v>
      </c>
      <c r="N25" s="61">
        <v>21</v>
      </c>
      <c r="O25" s="61">
        <v>25.4</v>
      </c>
      <c r="P25" s="61">
        <v>34</v>
      </c>
      <c r="Q25" s="62">
        <v>6.82</v>
      </c>
      <c r="R25" s="62">
        <v>36.14</v>
      </c>
      <c r="S25" s="62">
        <v>49.67</v>
      </c>
      <c r="T25" s="62">
        <v>89.18</v>
      </c>
      <c r="U25" s="62">
        <v>84.82</v>
      </c>
      <c r="V25" s="60">
        <v>77.48</v>
      </c>
      <c r="W25" s="60">
        <v>159.84</v>
      </c>
      <c r="X25" s="60">
        <v>0.95</v>
      </c>
      <c r="Y25" s="60">
        <v>3.2</v>
      </c>
      <c r="Z25" s="63">
        <v>43.5</v>
      </c>
      <c r="AA25" s="63">
        <v>-3.9</v>
      </c>
      <c r="AB25" s="63">
        <v>44.4</v>
      </c>
      <c r="AC25" s="63">
        <v>32</v>
      </c>
    </row>
    <row r="26" spans="1:29" x14ac:dyDescent="0.3">
      <c r="A26" s="72">
        <v>2023</v>
      </c>
      <c r="B26" s="59">
        <v>2.85</v>
      </c>
      <c r="C26" s="59">
        <v>3</v>
      </c>
      <c r="D26" s="59">
        <v>3.09</v>
      </c>
      <c r="E26" s="59">
        <v>21.05</v>
      </c>
      <c r="F26" s="59">
        <v>74.06</v>
      </c>
      <c r="G26" s="59">
        <v>62.7</v>
      </c>
      <c r="H26" s="60">
        <v>5.8</v>
      </c>
      <c r="I26" s="60">
        <v>5.8</v>
      </c>
      <c r="J26" s="60">
        <v>2.0299999999999998</v>
      </c>
      <c r="K26" s="60">
        <v>4.5999999999999996</v>
      </c>
      <c r="L26" s="61">
        <v>8.94</v>
      </c>
      <c r="M26" s="61">
        <v>10</v>
      </c>
      <c r="N26" s="61">
        <v>11</v>
      </c>
      <c r="O26" s="61">
        <v>10.199999999999999</v>
      </c>
      <c r="P26" s="61">
        <v>-4</v>
      </c>
      <c r="Q26" s="62">
        <v>6.47</v>
      </c>
      <c r="R26" s="62">
        <v>34.94</v>
      </c>
      <c r="S26" s="62">
        <v>49.7</v>
      </c>
      <c r="T26" s="62">
        <v>89.16</v>
      </c>
      <c r="U26" s="62">
        <v>84.44</v>
      </c>
      <c r="V26" s="60">
        <v>66.459999999999994</v>
      </c>
      <c r="W26" s="60">
        <v>136.63</v>
      </c>
      <c r="X26" s="60">
        <v>0.92</v>
      </c>
      <c r="Y26" s="60">
        <v>3.97</v>
      </c>
      <c r="Z26" s="63">
        <v>43.1</v>
      </c>
      <c r="AA26" s="63">
        <v>-3.4</v>
      </c>
      <c r="AB26" s="63">
        <v>44.6</v>
      </c>
      <c r="AC26" s="63">
        <v>33</v>
      </c>
    </row>
    <row r="27" spans="1:29" x14ac:dyDescent="0.3">
      <c r="A27" s="72">
        <v>2024</v>
      </c>
      <c r="B27" s="59">
        <v>-0.44</v>
      </c>
      <c r="C27" s="59">
        <v>0.04</v>
      </c>
      <c r="D27" s="59">
        <v>4.01</v>
      </c>
      <c r="E27" s="59">
        <v>21.02</v>
      </c>
      <c r="F27" s="59">
        <v>74.069999999999993</v>
      </c>
      <c r="G27" s="59">
        <v>62.1</v>
      </c>
      <c r="H27" s="60">
        <v>4.8</v>
      </c>
      <c r="I27" s="60">
        <v>4.8</v>
      </c>
      <c r="J27" s="60">
        <v>6.06</v>
      </c>
      <c r="K27" s="60">
        <v>5.5</v>
      </c>
      <c r="L27" s="61">
        <v>1.24</v>
      </c>
      <c r="M27" s="61">
        <v>3.6</v>
      </c>
      <c r="N27" s="61">
        <v>2.8</v>
      </c>
      <c r="O27" s="61">
        <v>0.5</v>
      </c>
      <c r="P27" s="61">
        <v>-3.8</v>
      </c>
      <c r="Q27" s="62">
        <v>6.72</v>
      </c>
      <c r="R27" s="62">
        <v>34.700000000000003</v>
      </c>
      <c r="S27" s="62">
        <v>49.84</v>
      </c>
      <c r="T27" s="62">
        <v>88.47</v>
      </c>
      <c r="U27" s="62">
        <v>84</v>
      </c>
      <c r="V27" s="60">
        <v>64.62</v>
      </c>
      <c r="W27" s="60">
        <v>67.180000000000007</v>
      </c>
      <c r="X27" s="60">
        <v>0.93</v>
      </c>
      <c r="Y27" s="60">
        <v>2.96</v>
      </c>
      <c r="Z27" s="63">
        <v>44.5</v>
      </c>
      <c r="AA27" s="63">
        <v>-1.8</v>
      </c>
      <c r="AB27" s="63">
        <v>46.6</v>
      </c>
      <c r="AC27" s="63">
        <v>34.9</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7B59B-024D-430C-9C97-1A485FF9FE94}">
  <dimension ref="A1:R65"/>
  <sheetViews>
    <sheetView workbookViewId="0">
      <pane ySplit="1" topLeftCell="A11" activePane="bottomLeft" state="frozen"/>
      <selection sqref="A1:I2"/>
      <selection pane="bottomLeft" activeCell="B31" sqref="B31"/>
    </sheetView>
  </sheetViews>
  <sheetFormatPr defaultRowHeight="14.4" x14ac:dyDescent="0.3"/>
  <sheetData>
    <row r="1" spans="1:18" x14ac:dyDescent="0.3">
      <c r="B1" s="1" t="s">
        <v>0</v>
      </c>
      <c r="C1" s="2" t="s">
        <v>1</v>
      </c>
      <c r="D1" s="2" t="s">
        <v>2</v>
      </c>
      <c r="E1" s="3" t="s">
        <v>3</v>
      </c>
      <c r="G1" s="2" t="s">
        <v>4</v>
      </c>
      <c r="H1" s="8">
        <v>0.2</v>
      </c>
      <c r="I1">
        <v>100</v>
      </c>
      <c r="J1">
        <v>35</v>
      </c>
      <c r="K1">
        <v>135</v>
      </c>
      <c r="L1">
        <v>15</v>
      </c>
      <c r="P1" t="s">
        <v>29</v>
      </c>
      <c r="R1" t="s">
        <v>5</v>
      </c>
    </row>
    <row r="2" spans="1:18" x14ac:dyDescent="0.3">
      <c r="B2" s="11" t="s">
        <v>12</v>
      </c>
      <c r="G2" s="2" t="s">
        <v>4</v>
      </c>
      <c r="H2" s="8">
        <v>0.2</v>
      </c>
      <c r="I2">
        <v>100</v>
      </c>
      <c r="J2">
        <v>35</v>
      </c>
      <c r="K2">
        <v>135</v>
      </c>
      <c r="L2">
        <v>8</v>
      </c>
    </row>
    <row r="3" spans="1:18" x14ac:dyDescent="0.3">
      <c r="B3" s="15" t="s">
        <v>13</v>
      </c>
      <c r="C3">
        <v>0</v>
      </c>
      <c r="D3">
        <v>135</v>
      </c>
      <c r="G3" s="2" t="s">
        <v>4</v>
      </c>
      <c r="H3" s="8">
        <v>0.2</v>
      </c>
      <c r="I3">
        <v>100</v>
      </c>
      <c r="J3">
        <v>15</v>
      </c>
      <c r="K3">
        <v>135</v>
      </c>
      <c r="L3">
        <v>15</v>
      </c>
    </row>
    <row r="4" spans="1:18" x14ac:dyDescent="0.3">
      <c r="B4" s="16" t="s">
        <v>14</v>
      </c>
      <c r="C4">
        <v>75</v>
      </c>
      <c r="D4">
        <v>135</v>
      </c>
    </row>
    <row r="5" spans="1:18" x14ac:dyDescent="0.3">
      <c r="A5" t="s">
        <v>15</v>
      </c>
      <c r="B5" s="17" t="s">
        <v>16</v>
      </c>
      <c r="C5">
        <v>0</v>
      </c>
      <c r="D5">
        <v>135</v>
      </c>
      <c r="F5" s="80" t="s">
        <v>58</v>
      </c>
      <c r="G5" s="81"/>
      <c r="H5" s="81"/>
      <c r="I5" s="81"/>
      <c r="J5" s="81"/>
      <c r="K5" s="81"/>
      <c r="L5" s="81"/>
      <c r="M5" s="81"/>
      <c r="N5" s="81"/>
    </row>
    <row r="6" spans="1:18" x14ac:dyDescent="0.3">
      <c r="A6" t="s">
        <v>15</v>
      </c>
      <c r="B6" s="18" t="s">
        <v>17</v>
      </c>
      <c r="C6">
        <v>100</v>
      </c>
      <c r="D6">
        <v>135</v>
      </c>
      <c r="F6" s="81"/>
      <c r="G6" s="81"/>
      <c r="H6" s="81"/>
      <c r="I6" s="81"/>
      <c r="J6" s="81"/>
      <c r="K6" s="81"/>
      <c r="L6" s="81"/>
      <c r="M6" s="81"/>
      <c r="N6" s="81"/>
    </row>
    <row r="8" spans="1:18" x14ac:dyDescent="0.3">
      <c r="B8" s="19" t="s">
        <v>18</v>
      </c>
      <c r="C8">
        <v>0</v>
      </c>
      <c r="D8">
        <v>135</v>
      </c>
    </row>
    <row r="9" spans="1:18" x14ac:dyDescent="0.3">
      <c r="B9" s="16" t="s">
        <v>14</v>
      </c>
      <c r="C9">
        <v>75</v>
      </c>
      <c r="D9">
        <v>135</v>
      </c>
    </row>
    <row r="10" spans="1:18" x14ac:dyDescent="0.3">
      <c r="A10" t="s">
        <v>15</v>
      </c>
      <c r="B10" s="12" t="s">
        <v>19</v>
      </c>
      <c r="C10">
        <v>0</v>
      </c>
      <c r="D10">
        <v>150</v>
      </c>
    </row>
    <row r="11" spans="1:18" x14ac:dyDescent="0.3">
      <c r="A11" t="s">
        <v>15</v>
      </c>
      <c r="B11" s="20" t="s">
        <v>20</v>
      </c>
      <c r="C11">
        <v>33</v>
      </c>
      <c r="D11">
        <v>150</v>
      </c>
    </row>
    <row r="12" spans="1:18" x14ac:dyDescent="0.3">
      <c r="A12" t="s">
        <v>15</v>
      </c>
      <c r="B12" s="18" t="s">
        <v>17</v>
      </c>
      <c r="C12">
        <v>100</v>
      </c>
      <c r="D12">
        <v>150</v>
      </c>
    </row>
    <row r="14" spans="1:18" x14ac:dyDescent="0.3">
      <c r="B14" s="21" t="s">
        <v>21</v>
      </c>
      <c r="C14">
        <v>0</v>
      </c>
      <c r="D14">
        <v>110</v>
      </c>
    </row>
    <row r="15" spans="1:18" x14ac:dyDescent="0.3">
      <c r="B15" s="22" t="s">
        <v>22</v>
      </c>
      <c r="C15">
        <v>75</v>
      </c>
      <c r="D15">
        <v>110</v>
      </c>
    </row>
    <row r="16" spans="1:18" x14ac:dyDescent="0.3">
      <c r="A16" t="s">
        <v>15</v>
      </c>
      <c r="B16" s="13" t="s">
        <v>23</v>
      </c>
      <c r="C16">
        <v>0</v>
      </c>
      <c r="D16">
        <v>135</v>
      </c>
    </row>
    <row r="17" spans="1:4" x14ac:dyDescent="0.3">
      <c r="A17" t="s">
        <v>15</v>
      </c>
      <c r="B17" s="23" t="s">
        <v>24</v>
      </c>
      <c r="C17">
        <v>38</v>
      </c>
      <c r="D17">
        <v>135</v>
      </c>
    </row>
    <row r="18" spans="1:4" x14ac:dyDescent="0.3">
      <c r="A18" t="s">
        <v>15</v>
      </c>
      <c r="B18" s="24" t="s">
        <v>25</v>
      </c>
      <c r="C18">
        <v>100</v>
      </c>
      <c r="D18">
        <v>135</v>
      </c>
    </row>
    <row r="20" spans="1:4" x14ac:dyDescent="0.3">
      <c r="B20" s="14" t="s">
        <v>26</v>
      </c>
    </row>
    <row r="21" spans="1:4" x14ac:dyDescent="0.3">
      <c r="B21" s="25" t="s">
        <v>27</v>
      </c>
    </row>
    <row r="22" spans="1:4" x14ac:dyDescent="0.3">
      <c r="B22" s="26" t="s">
        <v>28</v>
      </c>
    </row>
    <row r="24" spans="1:4" x14ac:dyDescent="0.3">
      <c r="B24" s="28" t="s">
        <v>31</v>
      </c>
      <c r="C24">
        <v>0</v>
      </c>
      <c r="D24">
        <v>0</v>
      </c>
    </row>
    <row r="25" spans="1:4" x14ac:dyDescent="0.3">
      <c r="B25" s="27" t="s">
        <v>30</v>
      </c>
      <c r="C25">
        <v>5</v>
      </c>
      <c r="D25">
        <v>0</v>
      </c>
    </row>
    <row r="26" spans="1:4" x14ac:dyDescent="0.3">
      <c r="B26" s="27" t="s">
        <v>30</v>
      </c>
      <c r="C26">
        <v>97</v>
      </c>
      <c r="D26">
        <v>0</v>
      </c>
    </row>
    <row r="27" spans="1:4" x14ac:dyDescent="0.3">
      <c r="B27" s="21" t="s">
        <v>21</v>
      </c>
      <c r="C27">
        <v>100</v>
      </c>
      <c r="D27">
        <v>0</v>
      </c>
    </row>
    <row r="28" spans="1:4" x14ac:dyDescent="0.3">
      <c r="A28" t="s">
        <v>15</v>
      </c>
      <c r="B28" s="29" t="s">
        <v>23</v>
      </c>
      <c r="C28">
        <v>0</v>
      </c>
      <c r="D28">
        <v>135</v>
      </c>
    </row>
    <row r="29" spans="1:4" x14ac:dyDescent="0.3">
      <c r="A29" t="s">
        <v>15</v>
      </c>
      <c r="B29" s="23" t="s">
        <v>24</v>
      </c>
      <c r="C29">
        <v>38</v>
      </c>
      <c r="D29">
        <v>135</v>
      </c>
    </row>
    <row r="30" spans="1:4" x14ac:dyDescent="0.3">
      <c r="A30" t="s">
        <v>15</v>
      </c>
      <c r="B30" s="24" t="s">
        <v>25</v>
      </c>
      <c r="C30">
        <v>100</v>
      </c>
      <c r="D30">
        <v>135</v>
      </c>
    </row>
    <row r="31" spans="1:4" x14ac:dyDescent="0.3">
      <c r="B31" s="30" t="s">
        <v>32</v>
      </c>
    </row>
    <row r="32" spans="1:4" x14ac:dyDescent="0.3">
      <c r="B32" s="31" t="s">
        <v>33</v>
      </c>
    </row>
    <row r="34" spans="1:5" x14ac:dyDescent="0.3">
      <c r="B34" s="32" t="s">
        <v>34</v>
      </c>
      <c r="C34">
        <v>10</v>
      </c>
      <c r="D34">
        <v>135</v>
      </c>
    </row>
    <row r="35" spans="1:5" x14ac:dyDescent="0.3">
      <c r="B35" s="33" t="s">
        <v>35</v>
      </c>
      <c r="C35">
        <v>67</v>
      </c>
      <c r="D35">
        <v>135</v>
      </c>
    </row>
    <row r="36" spans="1:5" x14ac:dyDescent="0.3">
      <c r="A36" t="s">
        <v>15</v>
      </c>
      <c r="B36" s="34" t="s">
        <v>36</v>
      </c>
      <c r="C36">
        <v>25</v>
      </c>
      <c r="D36">
        <v>135</v>
      </c>
    </row>
    <row r="37" spans="1:5" x14ac:dyDescent="0.3">
      <c r="A37" t="s">
        <v>15</v>
      </c>
      <c r="B37" s="35" t="s">
        <v>37</v>
      </c>
      <c r="C37">
        <v>100</v>
      </c>
      <c r="D37">
        <v>135</v>
      </c>
    </row>
    <row r="39" spans="1:5" x14ac:dyDescent="0.3">
      <c r="B39" s="36" t="s">
        <v>38</v>
      </c>
    </row>
    <row r="40" spans="1:5" x14ac:dyDescent="0.3">
      <c r="B40" s="37" t="s">
        <v>39</v>
      </c>
    </row>
    <row r="41" spans="1:5" x14ac:dyDescent="0.3">
      <c r="B41" s="38" t="s">
        <v>40</v>
      </c>
    </row>
    <row r="42" spans="1:5" x14ac:dyDescent="0.3">
      <c r="B42" s="39" t="s">
        <v>41</v>
      </c>
    </row>
    <row r="43" spans="1:5" x14ac:dyDescent="0.3">
      <c r="B43" s="40" t="s">
        <v>42</v>
      </c>
    </row>
    <row r="44" spans="1:5" x14ac:dyDescent="0.3">
      <c r="B44" s="41" t="s">
        <v>43</v>
      </c>
    </row>
    <row r="46" spans="1:5" x14ac:dyDescent="0.3">
      <c r="B46" s="42" t="s">
        <v>44</v>
      </c>
      <c r="C46">
        <v>10</v>
      </c>
      <c r="D46">
        <v>90</v>
      </c>
    </row>
    <row r="47" spans="1:5" x14ac:dyDescent="0.3">
      <c r="B47" s="43" t="s">
        <v>45</v>
      </c>
      <c r="C47">
        <v>80</v>
      </c>
      <c r="D47">
        <v>90</v>
      </c>
    </row>
    <row r="48" spans="1:5" x14ac:dyDescent="0.3">
      <c r="B48" s="44" t="s">
        <v>43</v>
      </c>
      <c r="C48">
        <v>0</v>
      </c>
      <c r="D48">
        <v>90</v>
      </c>
      <c r="E48">
        <v>0</v>
      </c>
    </row>
    <row r="49" spans="2:5" x14ac:dyDescent="0.3">
      <c r="B49" s="44" t="s">
        <v>43</v>
      </c>
      <c r="C49">
        <v>88</v>
      </c>
      <c r="D49">
        <v>90</v>
      </c>
      <c r="E49">
        <v>50</v>
      </c>
    </row>
    <row r="51" spans="2:5" x14ac:dyDescent="0.3">
      <c r="B51" s="45" t="s">
        <v>48</v>
      </c>
      <c r="C51">
        <v>0</v>
      </c>
      <c r="D51">
        <v>90</v>
      </c>
    </row>
    <row r="52" spans="2:5" x14ac:dyDescent="0.3">
      <c r="B52" s="46" t="s">
        <v>49</v>
      </c>
      <c r="C52">
        <v>100</v>
      </c>
      <c r="D52">
        <v>90</v>
      </c>
    </row>
    <row r="53" spans="2:5" x14ac:dyDescent="0.3">
      <c r="B53" s="47" t="s">
        <v>46</v>
      </c>
      <c r="C53">
        <v>0</v>
      </c>
      <c r="D53">
        <v>90</v>
      </c>
    </row>
    <row r="54" spans="2:5" x14ac:dyDescent="0.3">
      <c r="B54" s="48" t="s">
        <v>47</v>
      </c>
      <c r="C54">
        <v>100</v>
      </c>
      <c r="D54">
        <v>90</v>
      </c>
    </row>
    <row r="55" spans="2:5" x14ac:dyDescent="0.3">
      <c r="B55" s="49" t="s">
        <v>50</v>
      </c>
      <c r="C55">
        <v>0</v>
      </c>
      <c r="D55">
        <v>90</v>
      </c>
    </row>
    <row r="56" spans="2:5" x14ac:dyDescent="0.3">
      <c r="B56" s="50" t="s">
        <v>51</v>
      </c>
      <c r="C56">
        <v>100</v>
      </c>
      <c r="D56">
        <v>90</v>
      </c>
    </row>
    <row r="57" spans="2:5" x14ac:dyDescent="0.3">
      <c r="B57" s="51" t="s">
        <v>52</v>
      </c>
      <c r="C57">
        <v>0</v>
      </c>
      <c r="D57">
        <v>90</v>
      </c>
    </row>
    <row r="58" spans="2:5" x14ac:dyDescent="0.3">
      <c r="B58" s="52" t="s">
        <v>53</v>
      </c>
      <c r="C58">
        <v>100</v>
      </c>
      <c r="D58">
        <v>90</v>
      </c>
    </row>
    <row r="59" spans="2:5" x14ac:dyDescent="0.3">
      <c r="B59" s="53" t="s">
        <v>54</v>
      </c>
      <c r="C59">
        <v>0</v>
      </c>
      <c r="D59">
        <v>90</v>
      </c>
    </row>
    <row r="60" spans="2:5" x14ac:dyDescent="0.3">
      <c r="B60" s="54" t="s">
        <v>55</v>
      </c>
      <c r="C60">
        <v>100</v>
      </c>
      <c r="D60">
        <v>90</v>
      </c>
    </row>
    <row r="62" spans="2:5" x14ac:dyDescent="0.3">
      <c r="B62" s="55" t="s">
        <v>51</v>
      </c>
    </row>
    <row r="63" spans="2:5" x14ac:dyDescent="0.3">
      <c r="B63" s="56" t="s">
        <v>50</v>
      </c>
    </row>
    <row r="64" spans="2:5" x14ac:dyDescent="0.3">
      <c r="B64" s="57" t="s">
        <v>56</v>
      </c>
    </row>
    <row r="65" spans="2:2" x14ac:dyDescent="0.3">
      <c r="B65" s="58" t="s">
        <v>57</v>
      </c>
    </row>
  </sheetData>
  <mergeCells count="1">
    <mergeCell ref="F5:N6"/>
  </mergeCells>
  <hyperlinks>
    <hyperlink ref="F5" r:id="rId1" xr:uid="{295AADBD-C559-4139-B50D-7600CD7AD8C9}"/>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Real Sector</vt:lpstr>
      <vt:lpstr>Monetary</vt:lpstr>
      <vt:lpstr>Inflation</vt:lpstr>
      <vt:lpstr>Labour</vt:lpstr>
      <vt:lpstr>External</vt:lpstr>
      <vt:lpstr>Fiscal</vt:lpstr>
      <vt:lpstr>Summary</vt:lpstr>
      <vt:lpstr>Control</vt:lpstr>
      <vt:lpstr>Processing</vt:lpstr>
      <vt:lpstr>Data</vt:lpstr>
      <vt:lpstr>Resources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Dashboard Presentation</dc:creator>
  <cp:lastModifiedBy>Ranasinghe R.M.N.K. IT24101529</cp:lastModifiedBy>
  <dcterms:created xsi:type="dcterms:W3CDTF">2025-09-16T10:18:44Z</dcterms:created>
  <dcterms:modified xsi:type="dcterms:W3CDTF">2026-02-20T16:23:29Z</dcterms:modified>
</cp:coreProperties>
</file>